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juan.soliz\Desktop\NOTAS DE COMPARTIDA\2023 PLANIFICACION\RD 2019 2022\"/>
    </mc:Choice>
  </mc:AlternateContent>
  <xr:revisionPtr revIDLastSave="0" documentId="8_{EF5E53B5-23A9-45CB-B263-0CEA2E315A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TRIZ_SEG_RES_DIRECTORIO" sheetId="2" r:id="rId1"/>
  </sheets>
  <externalReferences>
    <externalReference r:id="rId2"/>
  </externalReferences>
  <definedNames>
    <definedName name="_xlnm._FilterDatabase" localSheetId="0">MATRIZ_SEG_RES_DIRECTORIO!$A$35:$X$117</definedName>
  </definedNames>
  <calcPr calcId="191029"/>
</workbook>
</file>

<file path=xl/calcChain.xml><?xml version="1.0" encoding="utf-8"?>
<calcChain xmlns="http://schemas.openxmlformats.org/spreadsheetml/2006/main">
  <c r="L9" i="2" l="1"/>
  <c r="L8" i="2"/>
  <c r="L7" i="2"/>
  <c r="L6" i="2"/>
  <c r="I34" i="2" l="1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F9" i="2"/>
  <c r="F8" i="2"/>
  <c r="F7" i="2"/>
  <c r="F11" i="2"/>
  <c r="F10" i="2"/>
  <c r="F6" i="2"/>
  <c r="E10" i="2"/>
  <c r="E9" i="2"/>
  <c r="E8" i="2"/>
  <c r="E7" i="2"/>
  <c r="E6" i="2"/>
  <c r="D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 Segales</author>
  </authors>
  <commentList>
    <comment ref="E35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Juan Segales: Actividad programada de procesos y Reprogramada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L35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Juan Segales:</t>
        </r>
        <r>
          <rPr>
            <sz val="8"/>
            <color indexed="81"/>
            <rFont val="Tahoma"/>
            <family val="2"/>
          </rPr>
          <t xml:space="preserve">
Fíco impreso o digital enviar al mail</t>
        </r>
      </text>
    </comment>
    <comment ref="M35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Juan Segales: Email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35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 xml:space="preserve">Juan Segales: Enviar documento al mail 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O35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>Juan Segales: Si es necesario completar observaciones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<sst xmlns="http://schemas.openxmlformats.org/spreadsheetml/2006/main" count="69" uniqueCount="65">
  <si>
    <t>Fecha entrega Revision</t>
  </si>
  <si>
    <t>Fecha entrega Final</t>
  </si>
  <si>
    <t>Plazo días</t>
  </si>
  <si>
    <t>Entregados</t>
  </si>
  <si>
    <t>Fuera de plazo</t>
  </si>
  <si>
    <t>En revisión</t>
  </si>
  <si>
    <t>En Plazo</t>
  </si>
  <si>
    <t>N°</t>
  </si>
  <si>
    <t>Fecha de Monitoreo:</t>
  </si>
  <si>
    <t>UNIDAD RESPONSABLE</t>
  </si>
  <si>
    <t>HONORABLE DIRECTORIO</t>
  </si>
  <si>
    <t>GERENCIA GENERAL</t>
  </si>
  <si>
    <t>GERENCIA ADMINISTRATIVA FINANCIERA</t>
  </si>
  <si>
    <t>GERENCIA DE SERVICIOS DE SALUD</t>
  </si>
  <si>
    <t>RESOLUCION</t>
  </si>
  <si>
    <t>MATRIZ DE SEGUIMIENTO DE RESOLUCIONES</t>
  </si>
  <si>
    <t>DEPARTAMENTO NACIONAL DE PLANIFICACION</t>
  </si>
  <si>
    <t>CAJA NACIONAL DE SALUD</t>
  </si>
  <si>
    <t>DEPARTAMENTO NACIONAL JURIDICO</t>
  </si>
  <si>
    <t>UNIDAD DE TRANSPARENCIA</t>
  </si>
  <si>
    <t>ADMINISTRACION REGIONAL LA PAZ</t>
  </si>
  <si>
    <t>ADMINISTRACION REGIONAL SANTA CRUZ</t>
  </si>
  <si>
    <t>ADMINISTRACION REGIONAL COCHABAMBA</t>
  </si>
  <si>
    <t>ADMINISTRACION REGIONAL BENI</t>
  </si>
  <si>
    <t>ADMINISTRACION REGIONAL ORURO</t>
  </si>
  <si>
    <t>ADMINISTRACION REGIONAL PANDO</t>
  </si>
  <si>
    <t>ADMINISTRACION REGIONAL CHUQUISACA</t>
  </si>
  <si>
    <t>ADMINISTRACION REGIONAL POTOSI</t>
  </si>
  <si>
    <t>ADMINISTRACION REGIONAL TARIJA</t>
  </si>
  <si>
    <t>AGENCIA DISTRITAL ATOCHA</t>
  </si>
  <si>
    <t>AGENCIA DISTRITAL CAMARGO</t>
  </si>
  <si>
    <t>AGENCIA DISTRITAL GUAYARAMERIN</t>
  </si>
  <si>
    <t>AGENCIA DISTRITAL RIBERALTA</t>
  </si>
  <si>
    <t>AGENCIA DISTRITAL TUPIZA</t>
  </si>
  <si>
    <t>AGENCIA DISTRITAL UNCIA</t>
  </si>
  <si>
    <t>AGENCIA DISTRITAL UYUNI</t>
  </si>
  <si>
    <t>AGENCIA DISTRITAL VALLEGRANDE</t>
  </si>
  <si>
    <t>AGENCIA DISTRITAL YACUIBA</t>
  </si>
  <si>
    <t>AGENCIA DISTRITAL CAMIRI</t>
  </si>
  <si>
    <t>AGENCIA DISTRITAL EL ALTO</t>
  </si>
  <si>
    <t>AUTORIDAD SUMARIANTE</t>
  </si>
  <si>
    <t>UNIDAD NACIONAL DE CORRESPONDENCIA</t>
  </si>
  <si>
    <t xml:space="preserve">FECHA </t>
  </si>
  <si>
    <t>OBJETIVO</t>
  </si>
  <si>
    <t>UNIDAD/ AREA RESPONSABLE</t>
  </si>
  <si>
    <t>FECHA DE INICIO</t>
  </si>
  <si>
    <t>FECHA DE CUMPLIMIENTO</t>
  </si>
  <si>
    <t>ESTADO ACTUAL</t>
  </si>
  <si>
    <t>ACCCIONES REALIZADAS</t>
  </si>
  <si>
    <t>ACCIONES POR CUMPLIR</t>
  </si>
  <si>
    <t>PLAZO DE CUMPLIMIENTO</t>
  </si>
  <si>
    <t>DOCUMENTO DE VERIFICACION (INSERTAR VINCULO DIGITAL PDF)</t>
  </si>
  <si>
    <t>OBSERVACIONES</t>
  </si>
  <si>
    <t>UNIDADES AREAS INTERESADAS</t>
  </si>
  <si>
    <t>CUMPLIMIENTO DE LA RESOLUCION</t>
  </si>
  <si>
    <t>SOLUCIONES PARA CUMPLIMIENTO DE LA RESOLUCION</t>
  </si>
  <si>
    <t>ACTIVIDADES A REALIZAR PARA EL CUMPLIMIENTO</t>
  </si>
  <si>
    <t>ARCHIVO DE RESOLUCION ( SEGUIMIENTO)</t>
  </si>
  <si>
    <t>ACCIONES ADICIONALES (SI CORRESPONDE)</t>
  </si>
  <si>
    <t>GESTION</t>
  </si>
  <si>
    <t>DOCUMENTO DE VERIFICACION</t>
  </si>
  <si>
    <t>ARCHIVO DE LA RESOLUCION</t>
  </si>
  <si>
    <t>RESPONSABLE</t>
  </si>
  <si>
    <t>Control de entrega</t>
  </si>
  <si>
    <t>Tipos de entrega de Resolución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</si>
</sst>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3" tint="-0.499984740745262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theme="6" tint="-0.499984740745262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3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rgb="FFFF0000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theme="3" tint="-0.499984740745262"/>
      </left>
      <right style="thin">
        <color theme="3" tint="-0.499984740745262"/>
      </right>
      <top style="thin">
        <color theme="3" tint="-0.499984740745262"/>
      </top>
      <bottom style="thin">
        <color theme="3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 tint="-0.499984740745262"/>
      </left>
      <right/>
      <top style="thin">
        <color theme="3" tint="-0.499984740745262"/>
      </top>
      <bottom style="thin">
        <color theme="3" tint="-0.499984740745262"/>
      </bottom>
      <diagonal/>
    </border>
    <border>
      <left/>
      <right style="thin">
        <color theme="3" tint="-0.499984740745262"/>
      </right>
      <top style="thin">
        <color theme="3" tint="-0.499984740745262"/>
      </top>
      <bottom style="thin">
        <color theme="3" tint="-0.499984740745262"/>
      </bottom>
      <diagonal/>
    </border>
    <border>
      <left style="thin">
        <color theme="3" tint="-0.499984740745262"/>
      </left>
      <right style="thin">
        <color theme="3" tint="-0.499984740745262"/>
      </right>
      <top style="thin">
        <color theme="3" tint="-0.499984740745262"/>
      </top>
      <bottom/>
      <diagonal/>
    </border>
    <border>
      <left style="thin">
        <color theme="3" tint="-0.499984740745262"/>
      </left>
      <right style="thin">
        <color theme="3" tint="-0.499984740745262"/>
      </right>
      <top/>
      <bottom style="thin">
        <color theme="3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3" tint="-0.499984740745262"/>
      </left>
      <right/>
      <top/>
      <bottom style="thin">
        <color theme="3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3" tint="-0.499984740745262"/>
      </right>
      <top/>
      <bottom style="thin">
        <color theme="3" tint="-0.499984740745262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4" fontId="2" fillId="0" borderId="0" xfId="0" applyNumberFormat="1" applyFont="1"/>
    <xf numFmtId="0" fontId="2" fillId="0" borderId="0" xfId="0" applyFont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164" fontId="2" fillId="0" borderId="1" xfId="0" applyNumberFormat="1" applyFont="1" applyBorder="1"/>
    <xf numFmtId="16" fontId="2" fillId="0" borderId="1" xfId="0" applyNumberFormat="1" applyFont="1" applyBorder="1"/>
    <xf numFmtId="0" fontId="4" fillId="0" borderId="1" xfId="1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6" fillId="0" borderId="0" xfId="0" applyFont="1"/>
    <xf numFmtId="0" fontId="2" fillId="0" borderId="2" xfId="0" applyFont="1" applyBorder="1" applyAlignment="1">
      <alignment vertical="center" wrapText="1"/>
    </xf>
    <xf numFmtId="0" fontId="7" fillId="0" borderId="1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11" borderId="2" xfId="0" applyFont="1" applyFill="1" applyBorder="1" applyAlignment="1">
      <alignment wrapText="1"/>
    </xf>
    <xf numFmtId="0" fontId="2" fillId="10" borderId="2" xfId="0" applyFont="1" applyFill="1" applyBorder="1"/>
    <xf numFmtId="0" fontId="2" fillId="16" borderId="2" xfId="0" applyFont="1" applyFill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8" borderId="2" xfId="0" applyFont="1" applyFill="1" applyBorder="1"/>
    <xf numFmtId="0" fontId="2" fillId="13" borderId="2" xfId="0" applyFont="1" applyFill="1" applyBorder="1"/>
    <xf numFmtId="0" fontId="2" fillId="4" borderId="2" xfId="0" applyFont="1" applyFill="1" applyBorder="1"/>
    <xf numFmtId="0" fontId="8" fillId="0" borderId="2" xfId="0" applyFont="1" applyBorder="1"/>
    <xf numFmtId="0" fontId="8" fillId="0" borderId="2" xfId="0" applyFont="1" applyBorder="1" applyAlignment="1">
      <alignment wrapText="1"/>
    </xf>
    <xf numFmtId="0" fontId="2" fillId="15" borderId="2" xfId="0" applyFont="1" applyFill="1" applyBorder="1"/>
    <xf numFmtId="0" fontId="2" fillId="5" borderId="2" xfId="0" applyFont="1" applyFill="1" applyBorder="1"/>
    <xf numFmtId="0" fontId="2" fillId="3" borderId="2" xfId="0" applyFont="1" applyFill="1" applyBorder="1"/>
    <xf numFmtId="0" fontId="2" fillId="11" borderId="2" xfId="0" applyFont="1" applyFill="1" applyBorder="1"/>
    <xf numFmtId="0" fontId="2" fillId="16" borderId="2" xfId="0" applyFont="1" applyFill="1" applyBorder="1"/>
    <xf numFmtId="0" fontId="2" fillId="12" borderId="2" xfId="0" applyFont="1" applyFill="1" applyBorder="1"/>
    <xf numFmtId="0" fontId="2" fillId="9" borderId="2" xfId="0" applyFont="1" applyFill="1" applyBorder="1"/>
    <xf numFmtId="0" fontId="2" fillId="6" borderId="2" xfId="0" applyFont="1" applyFill="1" applyBorder="1"/>
    <xf numFmtId="0" fontId="2" fillId="14" borderId="7" xfId="0" applyFont="1" applyFill="1" applyBorder="1"/>
    <xf numFmtId="0" fontId="2" fillId="0" borderId="6" xfId="0" applyFont="1" applyBorder="1"/>
    <xf numFmtId="0" fontId="5" fillId="0" borderId="6" xfId="0" applyFont="1" applyBorder="1" applyAlignment="1">
      <alignment wrapText="1"/>
    </xf>
    <xf numFmtId="0" fontId="7" fillId="0" borderId="6" xfId="0" applyFont="1" applyBorder="1" applyAlignment="1">
      <alignment wrapText="1"/>
    </xf>
    <xf numFmtId="0" fontId="2" fillId="0" borderId="8" xfId="0" applyFont="1" applyBorder="1" applyAlignment="1">
      <alignment wrapText="1"/>
    </xf>
    <xf numFmtId="164" fontId="2" fillId="0" borderId="6" xfId="0" applyNumberFormat="1" applyFont="1" applyBorder="1"/>
    <xf numFmtId="16" fontId="2" fillId="0" borderId="6" xfId="0" applyNumberFormat="1" applyFont="1" applyBorder="1"/>
    <xf numFmtId="0" fontId="4" fillId="0" borderId="6" xfId="1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2" fillId="17" borderId="7" xfId="0" applyFont="1" applyFill="1" applyBorder="1"/>
    <xf numFmtId="0" fontId="2" fillId="18" borderId="7" xfId="0" applyFont="1" applyFill="1" applyBorder="1"/>
    <xf numFmtId="0" fontId="2" fillId="19" borderId="7" xfId="0" applyFont="1" applyFill="1" applyBorder="1"/>
    <xf numFmtId="0" fontId="2" fillId="15" borderId="7" xfId="0" applyFont="1" applyFill="1" applyBorder="1"/>
    <xf numFmtId="0" fontId="2" fillId="16" borderId="7" xfId="0" applyFont="1" applyFill="1" applyBorder="1"/>
    <xf numFmtId="0" fontId="2" fillId="20" borderId="7" xfId="0" applyFont="1" applyFill="1" applyBorder="1"/>
    <xf numFmtId="0" fontId="2" fillId="21" borderId="7" xfId="0" applyFont="1" applyFill="1" applyBorder="1"/>
    <xf numFmtId="0" fontId="2" fillId="2" borderId="7" xfId="0" applyFont="1" applyFill="1" applyBorder="1"/>
    <xf numFmtId="0" fontId="2" fillId="22" borderId="7" xfId="0" applyFont="1" applyFill="1" applyBorder="1"/>
    <xf numFmtId="0" fontId="2" fillId="23" borderId="7" xfId="0" applyFont="1" applyFill="1" applyBorder="1"/>
    <xf numFmtId="0" fontId="2" fillId="24" borderId="7" xfId="0" applyFont="1" applyFill="1" applyBorder="1"/>
    <xf numFmtId="0" fontId="2" fillId="25" borderId="7" xfId="0" applyFont="1" applyFill="1" applyBorder="1"/>
    <xf numFmtId="0" fontId="2" fillId="26" borderId="7" xfId="0" applyFont="1" applyFill="1" applyBorder="1"/>
    <xf numFmtId="0" fontId="2" fillId="27" borderId="7" xfId="0" applyFont="1" applyFill="1" applyBorder="1"/>
    <xf numFmtId="0" fontId="2" fillId="28" borderId="7" xfId="0" applyFont="1" applyFill="1" applyBorder="1"/>
    <xf numFmtId="0" fontId="2" fillId="29" borderId="2" xfId="0" applyFont="1" applyFill="1" applyBorder="1"/>
    <xf numFmtId="0" fontId="2" fillId="0" borderId="0" xfId="0" applyFont="1" applyAlignment="1">
      <alignment vertical="center" wrapText="1"/>
    </xf>
    <xf numFmtId="0" fontId="3" fillId="30" borderId="2" xfId="0" applyFont="1" applyFill="1" applyBorder="1" applyAlignment="1">
      <alignment horizontal="center" wrapText="1"/>
    </xf>
    <xf numFmtId="0" fontId="3" fillId="31" borderId="2" xfId="0" applyFont="1" applyFill="1" applyBorder="1" applyAlignment="1">
      <alignment horizontal="center" wrapText="1"/>
    </xf>
    <xf numFmtId="0" fontId="3" fillId="32" borderId="2" xfId="0" applyFont="1" applyFill="1" applyBorder="1" applyAlignment="1">
      <alignment horizontal="center" wrapText="1"/>
    </xf>
    <xf numFmtId="0" fontId="3" fillId="33" borderId="2" xfId="0" applyFont="1" applyFill="1" applyBorder="1"/>
    <xf numFmtId="0" fontId="3" fillId="34" borderId="2" xfId="0" applyFont="1" applyFill="1" applyBorder="1" applyAlignment="1">
      <alignment wrapText="1"/>
    </xf>
    <xf numFmtId="0" fontId="3" fillId="35" borderId="2" xfId="0" applyFont="1" applyFill="1" applyBorder="1" applyAlignment="1">
      <alignment wrapText="1"/>
    </xf>
    <xf numFmtId="0" fontId="3" fillId="36" borderId="2" xfId="0" applyFont="1" applyFill="1" applyBorder="1" applyAlignment="1">
      <alignment wrapText="1"/>
    </xf>
    <xf numFmtId="0" fontId="3" fillId="10" borderId="2" xfId="0" applyFont="1" applyFill="1" applyBorder="1" applyAlignment="1">
      <alignment wrapText="1"/>
    </xf>
    <xf numFmtId="0" fontId="3" fillId="6" borderId="2" xfId="0" applyFont="1" applyFill="1" applyBorder="1" applyAlignment="1">
      <alignment wrapText="1"/>
    </xf>
    <xf numFmtId="0" fontId="3" fillId="37" borderId="2" xfId="0" applyFont="1" applyFill="1" applyBorder="1" applyAlignment="1">
      <alignment wrapText="1"/>
    </xf>
    <xf numFmtId="0" fontId="3" fillId="38" borderId="2" xfId="0" applyFont="1" applyFill="1" applyBorder="1" applyAlignment="1">
      <alignment wrapText="1"/>
    </xf>
    <xf numFmtId="0" fontId="3" fillId="39" borderId="2" xfId="0" applyFont="1" applyFill="1" applyBorder="1" applyAlignment="1">
      <alignment wrapText="1"/>
    </xf>
    <xf numFmtId="0" fontId="3" fillId="40" borderId="2" xfId="0" applyFont="1" applyFill="1" applyBorder="1" applyAlignment="1">
      <alignment wrapText="1"/>
    </xf>
    <xf numFmtId="0" fontId="3" fillId="11" borderId="2" xfId="0" applyFont="1" applyFill="1" applyBorder="1"/>
    <xf numFmtId="0" fontId="3" fillId="41" borderId="2" xfId="0" applyFont="1" applyFill="1" applyBorder="1" applyAlignment="1">
      <alignment wrapText="1"/>
    </xf>
    <xf numFmtId="0" fontId="3" fillId="26" borderId="2" xfId="0" applyFont="1" applyFill="1" applyBorder="1" applyAlignment="1">
      <alignment wrapText="1"/>
    </xf>
    <xf numFmtId="0" fontId="3" fillId="27" borderId="2" xfId="0" applyFont="1" applyFill="1" applyBorder="1"/>
    <xf numFmtId="0" fontId="3" fillId="28" borderId="2" xfId="0" applyFont="1" applyFill="1" applyBorder="1" applyAlignment="1">
      <alignment wrapText="1"/>
    </xf>
    <xf numFmtId="0" fontId="3" fillId="42" borderId="2" xfId="0" applyFont="1" applyFill="1" applyBorder="1" applyAlignment="1">
      <alignment wrapText="1"/>
    </xf>
    <xf numFmtId="0" fontId="3" fillId="12" borderId="2" xfId="0" applyFont="1" applyFill="1" applyBorder="1"/>
    <xf numFmtId="0" fontId="3" fillId="29" borderId="2" xfId="0" applyFont="1" applyFill="1" applyBorder="1" applyAlignment="1">
      <alignment wrapText="1"/>
    </xf>
    <xf numFmtId="0" fontId="3" fillId="18" borderId="2" xfId="0" applyFont="1" applyFill="1" applyBorder="1" applyAlignment="1">
      <alignment wrapText="1"/>
    </xf>
    <xf numFmtId="0" fontId="3" fillId="3" borderId="2" xfId="0" applyFont="1" applyFill="1" applyBorder="1" applyAlignment="1">
      <alignment horizontal="center" wrapText="1"/>
    </xf>
    <xf numFmtId="0" fontId="2" fillId="15" borderId="2" xfId="0" applyFont="1" applyFill="1" applyBorder="1" applyAlignment="1">
      <alignment wrapText="1"/>
    </xf>
    <xf numFmtId="0" fontId="2" fillId="5" borderId="2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2" fillId="10" borderId="2" xfId="0" applyFont="1" applyFill="1" applyBorder="1" applyAlignment="1">
      <alignment wrapText="1"/>
    </xf>
    <xf numFmtId="0" fontId="2" fillId="4" borderId="2" xfId="0" applyFont="1" applyFill="1" applyBorder="1" applyAlignment="1">
      <alignment wrapText="1"/>
    </xf>
    <xf numFmtId="0" fontId="2" fillId="8" borderId="2" xfId="0" applyFont="1" applyFill="1" applyBorder="1" applyAlignment="1">
      <alignment wrapText="1"/>
    </xf>
    <xf numFmtId="0" fontId="2" fillId="12" borderId="2" xfId="0" applyFont="1" applyFill="1" applyBorder="1" applyAlignment="1">
      <alignment wrapText="1"/>
    </xf>
    <xf numFmtId="0" fontId="2" fillId="29" borderId="2" xfId="0" applyFont="1" applyFill="1" applyBorder="1" applyAlignment="1">
      <alignment wrapText="1"/>
    </xf>
    <xf numFmtId="0" fontId="2" fillId="13" borderId="2" xfId="0" applyFont="1" applyFill="1" applyBorder="1" applyAlignment="1">
      <alignment wrapText="1"/>
    </xf>
    <xf numFmtId="0" fontId="2" fillId="9" borderId="2" xfId="0" applyFont="1" applyFill="1" applyBorder="1" applyAlignment="1">
      <alignment wrapText="1"/>
    </xf>
    <xf numFmtId="0" fontId="2" fillId="17" borderId="2" xfId="0" applyFont="1" applyFill="1" applyBorder="1" applyAlignment="1">
      <alignment wrapText="1"/>
    </xf>
    <xf numFmtId="0" fontId="2" fillId="18" borderId="2" xfId="0" applyFont="1" applyFill="1" applyBorder="1" applyAlignment="1">
      <alignment wrapText="1"/>
    </xf>
    <xf numFmtId="0" fontId="2" fillId="19" borderId="2" xfId="0" applyFont="1" applyFill="1" applyBorder="1" applyAlignment="1">
      <alignment wrapText="1"/>
    </xf>
    <xf numFmtId="0" fontId="2" fillId="20" borderId="7" xfId="0" applyFont="1" applyFill="1" applyBorder="1" applyAlignment="1">
      <alignment wrapText="1"/>
    </xf>
    <xf numFmtId="0" fontId="2" fillId="14" borderId="7" xfId="0" applyFont="1" applyFill="1" applyBorder="1" applyAlignment="1">
      <alignment wrapText="1"/>
    </xf>
    <xf numFmtId="0" fontId="2" fillId="21" borderId="7" xfId="0" applyFont="1" applyFill="1" applyBorder="1" applyAlignment="1">
      <alignment wrapText="1"/>
    </xf>
    <xf numFmtId="0" fontId="2" fillId="2" borderId="7" xfId="0" applyFont="1" applyFill="1" applyBorder="1" applyAlignment="1">
      <alignment wrapText="1"/>
    </xf>
    <xf numFmtId="0" fontId="2" fillId="22" borderId="7" xfId="0" applyFont="1" applyFill="1" applyBorder="1" applyAlignment="1">
      <alignment wrapText="1"/>
    </xf>
    <xf numFmtId="0" fontId="2" fillId="23" borderId="7" xfId="0" applyFont="1" applyFill="1" applyBorder="1" applyAlignment="1">
      <alignment wrapText="1"/>
    </xf>
    <xf numFmtId="0" fontId="2" fillId="24" borderId="7" xfId="0" applyFont="1" applyFill="1" applyBorder="1" applyAlignment="1">
      <alignment wrapText="1"/>
    </xf>
    <xf numFmtId="0" fontId="2" fillId="25" borderId="7" xfId="0" applyFont="1" applyFill="1" applyBorder="1" applyAlignment="1">
      <alignment wrapText="1"/>
    </xf>
    <xf numFmtId="0" fontId="2" fillId="26" borderId="7" xfId="0" applyFont="1" applyFill="1" applyBorder="1" applyAlignment="1">
      <alignment wrapText="1"/>
    </xf>
    <xf numFmtId="0" fontId="2" fillId="27" borderId="7" xfId="0" applyFont="1" applyFill="1" applyBorder="1" applyAlignment="1">
      <alignment wrapText="1"/>
    </xf>
    <xf numFmtId="0" fontId="2" fillId="28" borderId="7" xfId="0" applyFont="1" applyFill="1" applyBorder="1" applyAlignment="1">
      <alignment wrapText="1"/>
    </xf>
    <xf numFmtId="0" fontId="2" fillId="30" borderId="9" xfId="0" applyFont="1" applyFill="1" applyBorder="1" applyAlignment="1">
      <alignment wrapText="1"/>
    </xf>
    <xf numFmtId="0" fontId="2" fillId="30" borderId="9" xfId="0" applyFont="1" applyFill="1" applyBorder="1"/>
    <xf numFmtId="0" fontId="2" fillId="30" borderId="10" xfId="0" applyFont="1" applyFill="1" applyBorder="1" applyAlignment="1">
      <alignment wrapText="1"/>
    </xf>
    <xf numFmtId="0" fontId="2" fillId="30" borderId="6" xfId="0" applyFont="1" applyFill="1" applyBorder="1" applyAlignment="1">
      <alignment wrapText="1"/>
    </xf>
    <xf numFmtId="0" fontId="2" fillId="30" borderId="3" xfId="0" applyFont="1" applyFill="1" applyBorder="1" applyAlignment="1">
      <alignment wrapText="1"/>
    </xf>
    <xf numFmtId="0" fontId="2" fillId="30" borderId="2" xfId="0" applyFont="1" applyFill="1" applyBorder="1" applyAlignment="1">
      <alignment wrapText="1"/>
    </xf>
    <xf numFmtId="0" fontId="2" fillId="30" borderId="2" xfId="0" applyFont="1" applyFill="1" applyBorder="1"/>
    <xf numFmtId="0" fontId="2" fillId="30" borderId="4" xfId="0" applyFont="1" applyFill="1" applyBorder="1" applyAlignment="1">
      <alignment wrapText="1"/>
    </xf>
    <xf numFmtId="0" fontId="2" fillId="30" borderId="1" xfId="0" applyFont="1" applyFill="1" applyBorder="1" applyAlignment="1">
      <alignment wrapText="1"/>
    </xf>
    <xf numFmtId="0" fontId="2" fillId="30" borderId="0" xfId="0" applyFont="1" applyFill="1"/>
    <xf numFmtId="0" fontId="3" fillId="43" borderId="2" xfId="0" applyFont="1" applyFill="1" applyBorder="1" applyAlignment="1">
      <alignment wrapText="1"/>
    </xf>
    <xf numFmtId="1" fontId="2" fillId="0" borderId="8" xfId="0" applyNumberFormat="1" applyFont="1" applyBorder="1"/>
    <xf numFmtId="1" fontId="2" fillId="0" borderId="3" xfId="0" applyNumberFormat="1" applyFont="1" applyBorder="1"/>
    <xf numFmtId="16" fontId="2" fillId="0" borderId="10" xfId="0" applyNumberFormat="1" applyFont="1" applyBorder="1"/>
    <xf numFmtId="16" fontId="2" fillId="0" borderId="4" xfId="0" applyNumberFormat="1" applyFont="1" applyBorder="1"/>
    <xf numFmtId="164" fontId="2" fillId="0" borderId="2" xfId="0" applyNumberFormat="1" applyFont="1" applyBorder="1"/>
    <xf numFmtId="3" fontId="2" fillId="7" borderId="2" xfId="0" applyNumberFormat="1" applyFont="1" applyFill="1" applyBorder="1"/>
  </cellXfs>
  <cellStyles count="2">
    <cellStyle name="Hipervínculo" xfId="1" builtinId="8"/>
    <cellStyle name="Normal" xfId="0" builtinId="0"/>
  </cellStyles>
  <dxfs count="304"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643467</xdr:colOff>
      <xdr:row>0</xdr:row>
      <xdr:rowOff>76200</xdr:rowOff>
    </xdr:from>
    <xdr:to>
      <xdr:col>1</xdr:col>
      <xdr:colOff>1192107</xdr:colOff>
      <xdr:row>3</xdr:row>
      <xdr:rowOff>91440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DAA9AA8-AAD7-483D-AC90-76094DF4A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" y="76200"/>
          <a:ext cx="548640" cy="548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ATRIZ_PENDIENTES/MATRICES_SEGUIMIENTO_CONTRATO_CONVENIOS_FIN/Matriz_Seguimiento_CPBI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 de datos"/>
      <sheetName val="TD por responsable"/>
      <sheetName val="Hoja5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7"/>
  <sheetViews>
    <sheetView tabSelected="1" zoomScale="90" zoomScaleNormal="90" workbookViewId="0">
      <selection activeCell="S48" sqref="S48"/>
    </sheetView>
  </sheetViews>
  <sheetFormatPr baseColWidth="10" defaultColWidth="11.42578125" defaultRowHeight="12.75" x14ac:dyDescent="0.2"/>
  <cols>
    <col min="1" max="1" width="5.140625" style="1" customWidth="1"/>
    <col min="2" max="2" width="32.85546875" style="1" customWidth="1"/>
    <col min="3" max="3" width="15.7109375" style="1" customWidth="1"/>
    <col min="4" max="4" width="25.7109375" style="1" customWidth="1"/>
    <col min="5" max="5" width="12.5703125" style="1" customWidth="1"/>
    <col min="6" max="6" width="12.140625" style="1" customWidth="1"/>
    <col min="7" max="9" width="12.140625" style="4" customWidth="1"/>
    <col min="10" max="10" width="12" style="1" customWidth="1"/>
    <col min="11" max="11" width="12.140625" style="1" customWidth="1"/>
    <col min="12" max="12" width="16.42578125" style="1" customWidth="1"/>
    <col min="13" max="14" width="14.28515625" style="1" customWidth="1"/>
    <col min="15" max="18" width="30" style="1" customWidth="1"/>
    <col min="19" max="19" width="22.28515625" style="1" customWidth="1"/>
    <col min="20" max="20" width="13.7109375" style="1" customWidth="1"/>
    <col min="21" max="24" width="11.42578125" style="1" customWidth="1"/>
    <col min="25" max="16384" width="11.42578125" style="1"/>
  </cols>
  <sheetData>
    <row r="1" spans="3:12" x14ac:dyDescent="0.2">
      <c r="C1" s="11" t="s">
        <v>17</v>
      </c>
    </row>
    <row r="2" spans="3:12" x14ac:dyDescent="0.2">
      <c r="C2" s="11" t="s">
        <v>16</v>
      </c>
    </row>
    <row r="3" spans="3:12" x14ac:dyDescent="0.2">
      <c r="C3" s="11" t="s">
        <v>15</v>
      </c>
    </row>
    <row r="4" spans="3:12" x14ac:dyDescent="0.2">
      <c r="C4" s="2" t="s">
        <v>8</v>
      </c>
      <c r="D4" s="3">
        <f ca="1">TODAY()</f>
        <v>45071</v>
      </c>
    </row>
    <row r="5" spans="3:12" ht="63.75" x14ac:dyDescent="0.2">
      <c r="D5" s="22" t="s">
        <v>9</v>
      </c>
      <c r="E5" s="23" t="s">
        <v>62</v>
      </c>
      <c r="F5" s="23" t="s">
        <v>54</v>
      </c>
      <c r="G5" s="23" t="s">
        <v>60</v>
      </c>
      <c r="H5" s="23" t="s">
        <v>56</v>
      </c>
      <c r="I5" s="23" t="s">
        <v>61</v>
      </c>
      <c r="K5" s="23" t="s">
        <v>64</v>
      </c>
      <c r="L5" s="23" t="s">
        <v>63</v>
      </c>
    </row>
    <row r="6" spans="3:12" x14ac:dyDescent="0.2">
      <c r="D6" s="82" t="s">
        <v>10</v>
      </c>
      <c r="E6" s="24">
        <f>COUNTIF(F36:F117,"HONORABLE DIRECTORIO")</f>
        <v>0</v>
      </c>
      <c r="F6" s="24">
        <f>COUNTIF(L36:L117,"HONORABLE DIRECTORIO")</f>
        <v>0</v>
      </c>
      <c r="G6" s="24">
        <f>COUNTIF(N36:N117,"HONORABLE DIRECTORIO")</f>
        <v>0</v>
      </c>
      <c r="H6" s="24">
        <f>COUNTIF(Q36:Q117,"HONORABLE DIRECTORIO")</f>
        <v>0</v>
      </c>
      <c r="I6" s="24">
        <f>COUNTIF(S36:S117,"HONORABLE DIRECTORIO")</f>
        <v>0</v>
      </c>
      <c r="K6" s="31" t="s">
        <v>3</v>
      </c>
      <c r="L6" s="31">
        <f>COUNTIF(V36:V117,"Entregado")</f>
        <v>0</v>
      </c>
    </row>
    <row r="7" spans="3:12" x14ac:dyDescent="0.2">
      <c r="D7" s="83" t="s">
        <v>11</v>
      </c>
      <c r="E7" s="25">
        <f>COUNTIF(F36:F117,"GERENCIA GENERAL")</f>
        <v>0</v>
      </c>
      <c r="F7" s="25">
        <f>COUNTIF(L36:L117,"GERENCIA GENERAL")</f>
        <v>0</v>
      </c>
      <c r="G7" s="25">
        <f>COUNTIF(N36:N117,"GERENCIA GENERAL")</f>
        <v>0</v>
      </c>
      <c r="H7" s="25">
        <f>COUNTIF(Q36:Q117,"GERENCIA GENERAL")</f>
        <v>0</v>
      </c>
      <c r="I7" s="25">
        <f>COUNTIF(S36:S117,"GERENCIA GENERAL")</f>
        <v>0</v>
      </c>
      <c r="K7" s="26" t="s">
        <v>4</v>
      </c>
      <c r="L7" s="26">
        <f>COUNTIF(V36:V117,"Fuera de plazo")</f>
        <v>0</v>
      </c>
    </row>
    <row r="8" spans="3:12" ht="25.5" x14ac:dyDescent="0.2">
      <c r="D8" s="84" t="s">
        <v>12</v>
      </c>
      <c r="E8" s="26">
        <f>COUNTIF(F36:F117,"GERENCIA ADMINISTRATIVA FINANCIERA")</f>
        <v>0</v>
      </c>
      <c r="F8" s="26">
        <f>COUNTIF(L36:L117,"GERENCIA ADMINISTRATIVA FINANCIERA")</f>
        <v>0</v>
      </c>
      <c r="G8" s="26">
        <f>COUNTIF(N36:N117,"GERENCIA ADMINISTRATIVA FINANCIERA")</f>
        <v>0</v>
      </c>
      <c r="H8" s="26">
        <f>COUNTIF(Q36:Q117,"GERENCIA ADMINISTRATIVA FINANCIERA")</f>
        <v>0</v>
      </c>
      <c r="I8" s="26">
        <f>COUNTIF(S36:S117,"GERENCIA ADMINISTRATIVA FINANCIERA")</f>
        <v>0</v>
      </c>
      <c r="K8" s="25" t="s">
        <v>5</v>
      </c>
      <c r="L8" s="25">
        <f>COUNTIF(V36:V117,"En revisión")</f>
        <v>0</v>
      </c>
    </row>
    <row r="9" spans="3:12" ht="25.5" x14ac:dyDescent="0.2">
      <c r="D9" s="85" t="s">
        <v>13</v>
      </c>
      <c r="E9" s="16">
        <f>COUNTIF(F36:F117,"GERENCIA DE SERVICIOS DE SALUD")</f>
        <v>0</v>
      </c>
      <c r="F9" s="16">
        <f>COUNTIF(L36:L117,"GERENCIA DE SERVICIOS DE SALUD")</f>
        <v>0</v>
      </c>
      <c r="G9" s="16">
        <f>COUNTIF(N36:N117,"GERENCIA DE SERVICIOS DE SALUD")</f>
        <v>0</v>
      </c>
      <c r="H9" s="16">
        <f>COUNTIF(Q36:Q117,"GERENCIA DE SERVICIOS DE SALUD")</f>
        <v>0</v>
      </c>
      <c r="I9" s="16">
        <f>COUNTIF(S36:S117,"GERENCIA DE SERVICIOS DE SALUD")</f>
        <v>0</v>
      </c>
      <c r="K9" s="21" t="s">
        <v>6</v>
      </c>
      <c r="L9" s="21">
        <f>COUNTIF(V36:V117,"En Plazo")</f>
        <v>0</v>
      </c>
    </row>
    <row r="10" spans="3:12" ht="25.5" x14ac:dyDescent="0.2">
      <c r="D10" s="86" t="s">
        <v>16</v>
      </c>
      <c r="E10" s="21">
        <f>COUNTIF(F36:F117,"DEPARTAMENTO NACIONAL DE PLANIFICACION")</f>
        <v>0</v>
      </c>
      <c r="F10" s="21">
        <f>COUNTIF(L36:L117,"DEPARTAMENTO NACIONAL DE PLANIFICACION")</f>
        <v>0</v>
      </c>
      <c r="G10" s="21">
        <f>COUNTIF(N36:N117,"DEPARTAMENTO NACIONAL DE PLANIFICACION")</f>
        <v>0</v>
      </c>
      <c r="H10" s="21">
        <f>COUNTIF(Q36:Q117,"DEPARTAMENTO NACIONAL DE PLANIFICACION")</f>
        <v>0</v>
      </c>
      <c r="I10" s="21">
        <f>COUNTIF(S36:S117,"DEPARTAMENTO NACIONAL DE PLANIFICACION")</f>
        <v>0</v>
      </c>
    </row>
    <row r="11" spans="3:12" ht="25.5" x14ac:dyDescent="0.2">
      <c r="D11" s="87" t="s">
        <v>18</v>
      </c>
      <c r="E11" s="19">
        <f>COUNTIF(F36:F117,"DEPARTAMENTO NACIONAL JURIDICO")</f>
        <v>0</v>
      </c>
      <c r="F11" s="19">
        <f>COUNTIF(L36:L117,"DEPARTAMENTO NACIONAL JURIDICO")</f>
        <v>0</v>
      </c>
      <c r="G11" s="19">
        <f>COUNTIF(N36:N117,"DEPARTAMENTO NACIONAL JURIDICO")</f>
        <v>0</v>
      </c>
      <c r="H11" s="19">
        <f>COUNTIF(Q36:Q117,"DEPARTAMENTO NACIONAL JURIDICO")</f>
        <v>0</v>
      </c>
      <c r="I11" s="19">
        <f>COUNTIF(S36:S117,"DEPARTAMENTO NACIONAL JURIDICO")</f>
        <v>0</v>
      </c>
    </row>
    <row r="12" spans="3:12" x14ac:dyDescent="0.2">
      <c r="D12" s="88" t="s">
        <v>40</v>
      </c>
      <c r="E12" s="29">
        <f>COUNTIF(F36:F117,"AUTORIDAD SUMARIANTE")</f>
        <v>0</v>
      </c>
      <c r="F12" s="29">
        <f>COUNTIF(L36:L117,"AUTORIDAD SUMARIANTE")</f>
        <v>0</v>
      </c>
      <c r="G12" s="29">
        <f>COUNTIF(N36:N117,"AUTORIDAD SUMARIANTE")</f>
        <v>0</v>
      </c>
      <c r="H12" s="29">
        <f>COUNTIF(Q36:Q117,"AUTORIDAD SUMARIANTE")</f>
        <v>0</v>
      </c>
      <c r="I12" s="29">
        <f>COUNTIF(S36:S117,"AUTORIDAD SUMARIANTE")</f>
        <v>0</v>
      </c>
    </row>
    <row r="13" spans="3:12" ht="25.5" x14ac:dyDescent="0.2">
      <c r="D13" s="89" t="s">
        <v>41</v>
      </c>
      <c r="E13" s="57">
        <f>COUNTIF(F36:F117,"UNIDAD NACIONAL DE CORRESPONDENCIA")</f>
        <v>0</v>
      </c>
      <c r="F13" s="57">
        <f>COUNTIF(L36:L117,"UNIDAD NACIONAL DE CORRESPONDENCIA")</f>
        <v>0</v>
      </c>
      <c r="G13" s="57">
        <f>COUNTIF(N36:N117,"UNIDAD NACIONAL DE CORRESPONDENCIA")</f>
        <v>0</v>
      </c>
      <c r="H13" s="57">
        <f>COUNTIF(Q36:Q117,"UNIDAD NACIONAL DE CORRESPONDENCIA")</f>
        <v>0</v>
      </c>
      <c r="I13" s="57">
        <f>COUNTIF(S36:S117,"UNIDAD NACIONAL DE CORRESPONDENCIA")</f>
        <v>0</v>
      </c>
    </row>
    <row r="14" spans="3:12" x14ac:dyDescent="0.2">
      <c r="D14" s="15" t="s">
        <v>19</v>
      </c>
      <c r="E14" s="27">
        <f>COUNTIF(F36:F117,"UNIDAD DE TRANSPARENCIA")</f>
        <v>0</v>
      </c>
      <c r="F14" s="27">
        <f>COUNTIF(L36:L117,"UNIDAD DE TRANSPARENCIA")</f>
        <v>0</v>
      </c>
      <c r="G14" s="27">
        <f>COUNTIF(N36:N117,"UNIDAD DE TRANSPARENCIA")</f>
        <v>0</v>
      </c>
      <c r="H14" s="27">
        <f>COUNTIF(Q36:Q117,"UNIDAD DE TRANSPARENCIA")</f>
        <v>0</v>
      </c>
      <c r="I14" s="27">
        <f>COUNTIF(S36:S117,"UNIDAD DE TRANSPARENCIA")</f>
        <v>0</v>
      </c>
    </row>
    <row r="15" spans="3:12" ht="25.5" x14ac:dyDescent="0.2">
      <c r="D15" s="90" t="s">
        <v>20</v>
      </c>
      <c r="E15" s="20">
        <f>COUNTIF(F36:F117,"ADMINISTRACION REGIONAL LA PAZ")</f>
        <v>0</v>
      </c>
      <c r="F15" s="20">
        <f>COUNTIF(L36:L117,"ADMINISTRACION REGIONAL LA PAZ")</f>
        <v>0</v>
      </c>
      <c r="G15" s="20">
        <f>COUNTIF(N36:N117,"ADMINISTRACION REGIONAL LA PAZ")</f>
        <v>0</v>
      </c>
      <c r="H15" s="20">
        <f>COUNTIF(Q36:Q117,"ADMINISTRACION REGIONAL LA PAZ")</f>
        <v>0</v>
      </c>
      <c r="I15" s="20">
        <f>COUNTIF(S36:S117,"ADMINISTRACION REGIONAL LA PAZ")</f>
        <v>0</v>
      </c>
    </row>
    <row r="16" spans="3:12" ht="25.5" x14ac:dyDescent="0.2">
      <c r="D16" s="17" t="s">
        <v>21</v>
      </c>
      <c r="E16" s="28">
        <f>COUNTIF(F36:F117,"ADMINISTRACION REGIONAL SANTA CRUZ")</f>
        <v>0</v>
      </c>
      <c r="F16" s="28">
        <f>COUNTIF(L36:L117,"ADMINISTRACION REGIONAL SANTA CRUZ")</f>
        <v>0</v>
      </c>
      <c r="G16" s="28">
        <f>COUNTIF(N36:N117,"ADMINISTRACION REGIONAL SANTA CRUZ")</f>
        <v>0</v>
      </c>
      <c r="H16" s="28">
        <f>COUNTIF(Q36:Q117,"ADMINISTRACION REGIONAL SANTA CRUZ")</f>
        <v>0</v>
      </c>
      <c r="I16" s="28">
        <f>COUNTIF(S36:S117,"ADMINISTRACION REGIONAL SANTA CRUZ")</f>
        <v>0</v>
      </c>
    </row>
    <row r="17" spans="4:9" ht="25.5" x14ac:dyDescent="0.2">
      <c r="D17" s="88" t="s">
        <v>22</v>
      </c>
      <c r="E17" s="29">
        <f>COUNTIF(F36:F117,"ADMINISTRACION REGIONAL COCHABAMBA")</f>
        <v>0</v>
      </c>
      <c r="F17" s="29">
        <f>COUNTIF(L36:L117,"ADMINISTRACION REGIONAL COCHABAMBA")</f>
        <v>0</v>
      </c>
      <c r="G17" s="29">
        <f>COUNTIF(N36:N117,"ADMINISTRACION REGIONAL COCHABAMBA")</f>
        <v>0</v>
      </c>
      <c r="H17" s="29">
        <f>COUNTIF(Q36:Q117,"ADMINISTRACION REGIONAL COCHABAMBA")</f>
        <v>0</v>
      </c>
      <c r="I17" s="29">
        <f>COUNTIF(S36:S117,"ADMINISTRACION REGIONAL COCHABAMBA")</f>
        <v>0</v>
      </c>
    </row>
    <row r="18" spans="4:9" ht="25.5" x14ac:dyDescent="0.2">
      <c r="D18" s="91" t="s">
        <v>23</v>
      </c>
      <c r="E18" s="30">
        <f>COUNTIF(F36:F117,"ADMINISTRACION REGIONAL BENI")</f>
        <v>0</v>
      </c>
      <c r="F18" s="30">
        <f>COUNTIF(L36:L117,"ADMINISTRACION REGIONAL BENI")</f>
        <v>0</v>
      </c>
      <c r="G18" s="30">
        <f>COUNTIF(N36:N117,"ADMINISTRACION REGIONAL BENI")</f>
        <v>0</v>
      </c>
      <c r="H18" s="30">
        <f>COUNTIF(Q36:Q117,"ADMINISTRACION REGIONAL BENI")</f>
        <v>0</v>
      </c>
      <c r="I18" s="30">
        <f>COUNTIF(S36:S117,"ADMINISTRACION REGIONAL BENI")</f>
        <v>0</v>
      </c>
    </row>
    <row r="19" spans="4:9" ht="25.5" x14ac:dyDescent="0.2">
      <c r="D19" s="92" t="s">
        <v>24</v>
      </c>
      <c r="E19" s="42">
        <f>COUNTIF(F36:F117,"ADMINISTRACION REGIONAL ORURO")</f>
        <v>0</v>
      </c>
      <c r="F19" s="42">
        <f>COUNTIF(L36:L117,"ADMINISTRACION REGIONAL ORURO")</f>
        <v>0</v>
      </c>
      <c r="G19" s="42">
        <f>COUNTIF(N36:N117,"ADMINISTRACION REGIONAL ORURO")</f>
        <v>0</v>
      </c>
      <c r="H19" s="42">
        <f>COUNTIF(Q36:Q117,"ADMINISTRACION REGIONAL ORURO")</f>
        <v>0</v>
      </c>
      <c r="I19" s="42">
        <f>COUNTIF(S36:S117,"ADMINISTRACION REGIONAL ORURO")</f>
        <v>0</v>
      </c>
    </row>
    <row r="20" spans="4:9" ht="25.5" x14ac:dyDescent="0.2">
      <c r="D20" s="93" t="s">
        <v>25</v>
      </c>
      <c r="E20" s="43">
        <f>COUNTIF(F36:F117,"ADMINISTRACION REGIONAL PANDO")</f>
        <v>0</v>
      </c>
      <c r="F20" s="43">
        <f>COUNTIF(L36:L117,"ADMINISTRACION REGIONAL PANDO")</f>
        <v>0</v>
      </c>
      <c r="G20" s="43">
        <f>COUNTIF(N36:N117,"ADMINISTRACION REGIONAL PANDO")</f>
        <v>0</v>
      </c>
      <c r="H20" s="43">
        <f>COUNTIF(Q36:Q117,"ADMINISTRACION REGIONAL PANDO")</f>
        <v>0</v>
      </c>
      <c r="I20" s="43">
        <f>COUNTIF(S36:S117,"ADMINISTRACION REGIONAL PANDO")</f>
        <v>0</v>
      </c>
    </row>
    <row r="21" spans="4:9" ht="25.5" x14ac:dyDescent="0.2">
      <c r="D21" s="94" t="s">
        <v>26</v>
      </c>
      <c r="E21" s="44">
        <f>COUNTIF(F36:F117,"ADMINISTRACION REGIONAL CHUQUISACA")</f>
        <v>0</v>
      </c>
      <c r="F21" s="44">
        <f>COUNTIF(L36:L117,"ADMINISTRACION REGIONAL CHUQUISACA")</f>
        <v>0</v>
      </c>
      <c r="G21" s="44">
        <f>COUNTIF(N36:N117,"ADMINISTRACION REGIONAL CHUQUISACA")</f>
        <v>0</v>
      </c>
      <c r="H21" s="44">
        <f>COUNTIF(Q36:Q117,"ADMINISTRACION REGIONAL CHUQUISACA")</f>
        <v>0</v>
      </c>
      <c r="I21" s="44">
        <f>COUNTIF(S36:S117,"ADMINISTRACION REGIONAL CHUQUISACA")</f>
        <v>0</v>
      </c>
    </row>
    <row r="22" spans="4:9" ht="25.5" x14ac:dyDescent="0.2">
      <c r="D22" s="82" t="s">
        <v>27</v>
      </c>
      <c r="E22" s="45">
        <f>COUNTIF(F36:F117,"ADMINISTRACION REGIONAL POTOSI")</f>
        <v>0</v>
      </c>
      <c r="F22" s="45">
        <f>COUNTIF(L36:L117,"ADMINISTRACION REGIONAL POTOSI")</f>
        <v>0</v>
      </c>
      <c r="G22" s="45">
        <f>COUNTIF(N36:N117,"ADMINISTRACION REGIONAL POTOSI")</f>
        <v>0</v>
      </c>
      <c r="H22" s="45">
        <f>COUNTIF(Q36:Q117,"ADMINISTRACION REGIONAL POTOSI")</f>
        <v>0</v>
      </c>
      <c r="I22" s="45">
        <f>COUNTIF(S36:S117,"ADMINISTRACION REGIONAL POTOSI")</f>
        <v>0</v>
      </c>
    </row>
    <row r="23" spans="4:9" ht="25.5" x14ac:dyDescent="0.2">
      <c r="D23" s="17" t="s">
        <v>28</v>
      </c>
      <c r="E23" s="46">
        <f>COUNTIF(F36:F117,"ADMINISTRACION REGIONAL TARIJA")</f>
        <v>0</v>
      </c>
      <c r="F23" s="46">
        <f>COUNTIF(L36:L117,"ADMINISTRACION REGIONAL TARIJA")</f>
        <v>0</v>
      </c>
      <c r="G23" s="46">
        <f>COUNTIF(N36:N117,"ADMINISTRACION REGIONAL TARIJA")</f>
        <v>0</v>
      </c>
      <c r="H23" s="46">
        <f>COUNTIF(Q36:Q117,"ADMINISTRACION REGIONAL TARIJA")</f>
        <v>0</v>
      </c>
      <c r="I23" s="46">
        <f>COUNTIF(S36:S117,"ADMINISTRACION REGIONAL TARIJA")</f>
        <v>0</v>
      </c>
    </row>
    <row r="24" spans="4:9" x14ac:dyDescent="0.2">
      <c r="D24" s="95" t="s">
        <v>29</v>
      </c>
      <c r="E24" s="47">
        <f>COUNTIF(F36:F117,"AGENCIA DISTRITAL ATOCHA")</f>
        <v>0</v>
      </c>
      <c r="F24" s="47">
        <f>COUNTIF(L36:L117,"AGENCIA DISTRITAL ATOCHA")</f>
        <v>0</v>
      </c>
      <c r="G24" s="47">
        <f>COUNTIF(N36:N117,"AGENCIA DISTRITAL ATOCHA")</f>
        <v>0</v>
      </c>
      <c r="H24" s="47">
        <f>COUNTIF(Q36:Q117,"AGENCIA DISTRITAL ATOCHA")</f>
        <v>0</v>
      </c>
      <c r="I24" s="47">
        <f>COUNTIF(S36:S117,"AGENCIA DISTRITAL ATOCHA")</f>
        <v>0</v>
      </c>
    </row>
    <row r="25" spans="4:9" x14ac:dyDescent="0.2">
      <c r="D25" s="96" t="s">
        <v>30</v>
      </c>
      <c r="E25" s="32">
        <f>COUNTIF(F36:F117,"AGENCIA DISTRITAL CAMARGO")</f>
        <v>0</v>
      </c>
      <c r="F25" s="32">
        <f>COUNTIF(L36:L117,"AGENCIA DISTRITAL CAMARGO")</f>
        <v>0</v>
      </c>
      <c r="G25" s="32">
        <f>COUNTIF(N36:N117,"AGENCIA DISTRITAL CAMARGO")</f>
        <v>0</v>
      </c>
      <c r="H25" s="32">
        <f>COUNTIF(Q36:Q117,"AGENCIA DISTRITAL CAMARGO")</f>
        <v>0</v>
      </c>
      <c r="I25" s="32">
        <f>COUNTIF(S36:S117,"AGENCIA DISTRITAL CAMARGO")</f>
        <v>0</v>
      </c>
    </row>
    <row r="26" spans="4:9" ht="25.5" x14ac:dyDescent="0.2">
      <c r="D26" s="97" t="s">
        <v>31</v>
      </c>
      <c r="E26" s="48">
        <f>COUNTIF(F36:F117,"AGENCIA DISTRITAL GUAYARAMERIN")</f>
        <v>0</v>
      </c>
      <c r="F26" s="48">
        <f>COUNTIF(L36:L117,"AGENCIA DISTRITAL GUAYARAMERIN")</f>
        <v>0</v>
      </c>
      <c r="G26" s="48">
        <f>COUNTIF(N36:N117,"AGENCIA DISTRITAL GUAYARAMERIN")</f>
        <v>0</v>
      </c>
      <c r="H26" s="48">
        <f>COUNTIF(Q36:Q117,"AGENCIA DISTRITAL GUAYARAMERIN")</f>
        <v>0</v>
      </c>
      <c r="I26" s="48">
        <f>COUNTIF(S36:S117,"AGENCIA DISTRITAL GUAYARAMERIN")</f>
        <v>0</v>
      </c>
    </row>
    <row r="27" spans="4:9" x14ac:dyDescent="0.2">
      <c r="D27" s="98" t="s">
        <v>32</v>
      </c>
      <c r="E27" s="49">
        <f>COUNTIF(F36:F117,"AGENCIA DISTRITAL RIBERALTA")</f>
        <v>0</v>
      </c>
      <c r="F27" s="49">
        <f>COUNTIF(L36:L117,"AGENCIA DISTRITAL RIBERALTA")</f>
        <v>0</v>
      </c>
      <c r="G27" s="49">
        <f>COUNTIF(N36:N117,"AGENCIA DISTRITAL RIBERALTA")</f>
        <v>0</v>
      </c>
      <c r="H27" s="49">
        <f>COUNTIF(Q36:Q117,"AGENCIA DISTRITAL RIBERALTA")</f>
        <v>0</v>
      </c>
      <c r="I27" s="49">
        <f>COUNTIF(S36:S117,"AGENCIA DISTRITAL RIBERALTA")</f>
        <v>0</v>
      </c>
    </row>
    <row r="28" spans="4:9" x14ac:dyDescent="0.2">
      <c r="D28" s="99" t="s">
        <v>33</v>
      </c>
      <c r="E28" s="50">
        <f>COUNTIF(F36:F117,"AGENCIA DISTRITAL TUPIZA")</f>
        <v>0</v>
      </c>
      <c r="F28" s="50">
        <f>COUNTIF(L36:L117,"AGENCIA DISTRITAL TUPIZA")</f>
        <v>0</v>
      </c>
      <c r="G28" s="50">
        <f>COUNTIF(N36:N117,"AGENCIA DISTRITAL TUPIZA")</f>
        <v>0</v>
      </c>
      <c r="H28" s="50">
        <f>COUNTIF(Q36:Q117,"AGENCIA DISTRITAL TUPIZA")</f>
        <v>0</v>
      </c>
      <c r="I28" s="50">
        <f>COUNTIF(S36:S117,"AGENCIA DISTRITAL TUPIZA")</f>
        <v>0</v>
      </c>
    </row>
    <row r="29" spans="4:9" x14ac:dyDescent="0.2">
      <c r="D29" s="100" t="s">
        <v>34</v>
      </c>
      <c r="E29" s="51">
        <f>COUNTIF(F36:F117,"AGENCIA DISTRITAL UNCIA")</f>
        <v>0</v>
      </c>
      <c r="F29" s="51">
        <f>COUNTIF(L36:L117,"AGENCIA DISTRITAL UNCIA")</f>
        <v>0</v>
      </c>
      <c r="G29" s="51">
        <f>COUNTIF(N36:N117,"AGENCIA DISTRITAL UNCIA")</f>
        <v>0</v>
      </c>
      <c r="H29" s="51">
        <f>COUNTIF(Q36:Q117,"AGENCIA DISTRITAL UNCIA")</f>
        <v>0</v>
      </c>
      <c r="I29" s="51">
        <f>COUNTIF(S36:S117,"AGENCIA DISTRITAL UNCIA")</f>
        <v>0</v>
      </c>
    </row>
    <row r="30" spans="4:9" x14ac:dyDescent="0.2">
      <c r="D30" s="101" t="s">
        <v>35</v>
      </c>
      <c r="E30" s="52">
        <f>COUNTIF(F36:F117,"AGENCIA DISTRITAL UYUNI")</f>
        <v>0</v>
      </c>
      <c r="F30" s="52">
        <f>COUNTIF(L36:L117,"AGENCIA DISTRITAL UYUNI")</f>
        <v>0</v>
      </c>
      <c r="G30" s="52">
        <f>COUNTIF(N36:N117,"AGENCIA DISTRITAL UYUNI")</f>
        <v>0</v>
      </c>
      <c r="H30" s="52">
        <f>COUNTIF(Q36:Q117,"AGENCIA DISTRITAL UYUNI")</f>
        <v>0</v>
      </c>
      <c r="I30" s="52">
        <f>COUNTIF(S36:S117,"AGENCIA DISTRITAL UYUNI")</f>
        <v>0</v>
      </c>
    </row>
    <row r="31" spans="4:9" ht="25.5" x14ac:dyDescent="0.2">
      <c r="D31" s="102" t="s">
        <v>36</v>
      </c>
      <c r="E31" s="53">
        <f>COUNTIF(F36:F117,"AGENCIA DISTRITAL VALLEGRANDE")</f>
        <v>0</v>
      </c>
      <c r="F31" s="53">
        <f>COUNTIF(L36:L117,"AGENCIA DISTRITAL VALLEGRANDE")</f>
        <v>0</v>
      </c>
      <c r="G31" s="53">
        <f>COUNTIF(N36:N117,"AGENCIA DISTRITAL VALLEGRANDE")</f>
        <v>0</v>
      </c>
      <c r="H31" s="53">
        <f>COUNTIF(Q36:Q117,"AGENCIA DISTRITAL VALLEGRANDE")</f>
        <v>0</v>
      </c>
      <c r="I31" s="53">
        <f>COUNTIF(S36:S117,"AGENCIA DISTRITAL VALLEGRANDE")</f>
        <v>0</v>
      </c>
    </row>
    <row r="32" spans="4:9" x14ac:dyDescent="0.2">
      <c r="D32" s="103" t="s">
        <v>37</v>
      </c>
      <c r="E32" s="54">
        <f>COUNTIF(F36:F117,"AGENCIA DISTRITAL YACUIBA")</f>
        <v>0</v>
      </c>
      <c r="F32" s="54">
        <f>COUNTIF(L36:L117,"AGENCIA DISTRITAL YACUIBA")</f>
        <v>0</v>
      </c>
      <c r="G32" s="54">
        <f>COUNTIF(N36:N117,"AGENCIA DISTRITAL YACUIBA")</f>
        <v>0</v>
      </c>
      <c r="H32" s="54">
        <f>COUNTIF(Q36:Q117,"AGENCIA DISTRITAL YACUIBA")</f>
        <v>0</v>
      </c>
      <c r="I32" s="54">
        <f>COUNTIF(S36:S117,"AGENCIA DISTRITAL YACUIBA")</f>
        <v>0</v>
      </c>
    </row>
    <row r="33" spans="1:24" x14ac:dyDescent="0.2">
      <c r="D33" s="104" t="s">
        <v>38</v>
      </c>
      <c r="E33" s="55">
        <f>COUNTIF(F36:F117,"AGENCIA DISTRITAL CAMIRI")</f>
        <v>0</v>
      </c>
      <c r="F33" s="55">
        <f>COUNTIF(L36:L117,"AGENCIA DISTRITAL CAMIRI")</f>
        <v>0</v>
      </c>
      <c r="G33" s="55">
        <f>COUNTIF(N36:N117,"AGENCIA DISTRITAL CAMIRI")</f>
        <v>0</v>
      </c>
      <c r="H33" s="55">
        <f>COUNTIF(Q36:Q117,"AGENCIA DISTRITAL CAMIRI")</f>
        <v>0</v>
      </c>
      <c r="I33" s="55">
        <f>COUNTIF(S36:S117,"AGENCIA DISTRITAL CAMIRI")</f>
        <v>0</v>
      </c>
    </row>
    <row r="34" spans="1:24" x14ac:dyDescent="0.2">
      <c r="D34" s="105" t="s">
        <v>39</v>
      </c>
      <c r="E34" s="56">
        <f>COUNTIF(F36:F117,"AGENCIA DISTRITAL EL ALTO")</f>
        <v>0</v>
      </c>
      <c r="F34" s="56">
        <f>COUNTIF(L36:L117,"AGENCIA DISTRITAL EL ALTO")</f>
        <v>0</v>
      </c>
      <c r="G34" s="56">
        <f>COUNTIF(N36:N117,"AGENCIA DISTRITAL EL ALTO")</f>
        <v>0</v>
      </c>
      <c r="H34" s="56">
        <f>COUNTIF(Q36:Q117,"AGENCIA DISTRITAL EL ALTO")</f>
        <v>0</v>
      </c>
      <c r="I34" s="56">
        <f>COUNTIF(S36:S117,"AGENCIA DISTRITAL EL ALTO")</f>
        <v>0</v>
      </c>
    </row>
    <row r="35" spans="1:24" ht="63.75" x14ac:dyDescent="0.2">
      <c r="A35" s="59" t="s">
        <v>7</v>
      </c>
      <c r="B35" s="81" t="s">
        <v>14</v>
      </c>
      <c r="C35" s="60" t="s">
        <v>59</v>
      </c>
      <c r="D35" s="61" t="s">
        <v>42</v>
      </c>
      <c r="E35" s="62" t="s">
        <v>43</v>
      </c>
      <c r="F35" s="63" t="s">
        <v>44</v>
      </c>
      <c r="G35" s="64" t="s">
        <v>47</v>
      </c>
      <c r="H35" s="65" t="s">
        <v>48</v>
      </c>
      <c r="I35" s="66" t="s">
        <v>49</v>
      </c>
      <c r="J35" s="67" t="s">
        <v>45</v>
      </c>
      <c r="K35" s="68" t="s">
        <v>46</v>
      </c>
      <c r="L35" s="69" t="s">
        <v>54</v>
      </c>
      <c r="M35" s="70" t="s">
        <v>53</v>
      </c>
      <c r="N35" s="71" t="s">
        <v>51</v>
      </c>
      <c r="O35" s="72" t="s">
        <v>52</v>
      </c>
      <c r="P35" s="73" t="s">
        <v>55</v>
      </c>
      <c r="Q35" s="74" t="s">
        <v>56</v>
      </c>
      <c r="R35" s="75" t="s">
        <v>58</v>
      </c>
      <c r="S35" s="76" t="s">
        <v>57</v>
      </c>
      <c r="T35" s="77" t="s">
        <v>50</v>
      </c>
      <c r="U35" s="78" t="s">
        <v>2</v>
      </c>
      <c r="V35" s="116" t="s">
        <v>63</v>
      </c>
      <c r="W35" s="79" t="s">
        <v>0</v>
      </c>
      <c r="X35" s="80" t="s">
        <v>1</v>
      </c>
    </row>
    <row r="36" spans="1:24" x14ac:dyDescent="0.2">
      <c r="A36" s="33">
        <v>1</v>
      </c>
      <c r="B36" s="33"/>
      <c r="C36" s="34"/>
      <c r="D36" s="35"/>
      <c r="E36" s="36"/>
      <c r="F36" s="106"/>
      <c r="G36" s="107"/>
      <c r="H36" s="108"/>
      <c r="I36" s="109"/>
      <c r="J36" s="37"/>
      <c r="K36" s="37"/>
      <c r="L36" s="33"/>
      <c r="M36" s="33"/>
      <c r="N36" s="39"/>
      <c r="O36" s="40"/>
      <c r="P36" s="40"/>
      <c r="Q36" s="40"/>
      <c r="R36" s="40"/>
      <c r="S36" s="117"/>
      <c r="T36" s="121"/>
      <c r="U36" s="122"/>
      <c r="V36" s="122"/>
      <c r="W36" s="119"/>
      <c r="X36" s="38"/>
    </row>
    <row r="37" spans="1:24" x14ac:dyDescent="0.2">
      <c r="A37" s="5">
        <v>2</v>
      </c>
      <c r="B37" s="5"/>
      <c r="C37" s="10"/>
      <c r="D37" s="13"/>
      <c r="E37" s="14"/>
      <c r="F37" s="110"/>
      <c r="G37" s="110"/>
      <c r="H37" s="110"/>
      <c r="I37" s="110"/>
      <c r="J37" s="7"/>
      <c r="K37" s="7"/>
      <c r="L37" s="5"/>
      <c r="M37" s="5"/>
      <c r="N37" s="9"/>
      <c r="O37" s="6"/>
      <c r="P37" s="6"/>
      <c r="Q37" s="6"/>
      <c r="R37" s="6"/>
      <c r="S37" s="118"/>
      <c r="T37" s="121"/>
      <c r="U37" s="122"/>
      <c r="V37" s="122"/>
      <c r="W37" s="120"/>
      <c r="X37" s="8"/>
    </row>
    <row r="38" spans="1:24" x14ac:dyDescent="0.2">
      <c r="A38" s="5">
        <v>3</v>
      </c>
      <c r="B38" s="5"/>
      <c r="C38" s="10"/>
      <c r="D38" s="13"/>
      <c r="E38" s="14"/>
      <c r="F38" s="110"/>
      <c r="G38" s="110"/>
      <c r="H38" s="110"/>
      <c r="I38" s="110"/>
      <c r="J38" s="7"/>
      <c r="K38" s="7"/>
      <c r="L38" s="5"/>
      <c r="M38" s="5"/>
      <c r="N38" s="9"/>
      <c r="O38" s="6"/>
      <c r="P38" s="6"/>
      <c r="Q38" s="6"/>
      <c r="R38" s="6"/>
      <c r="S38" s="118"/>
      <c r="T38" s="121"/>
      <c r="U38" s="122"/>
      <c r="V38" s="122"/>
      <c r="W38" s="120"/>
      <c r="X38" s="8"/>
    </row>
    <row r="39" spans="1:24" x14ac:dyDescent="0.2">
      <c r="A39" s="5">
        <v>4</v>
      </c>
      <c r="B39" s="5"/>
      <c r="C39" s="10"/>
      <c r="D39" s="13"/>
      <c r="E39" s="14"/>
      <c r="F39" s="110"/>
      <c r="G39" s="110"/>
      <c r="H39" s="110"/>
      <c r="I39" s="110"/>
      <c r="J39" s="7"/>
      <c r="K39" s="7"/>
      <c r="L39" s="5"/>
      <c r="M39" s="5"/>
      <c r="N39" s="9"/>
      <c r="O39" s="6"/>
      <c r="P39" s="6"/>
      <c r="Q39" s="6"/>
      <c r="R39" s="6"/>
      <c r="S39" s="118"/>
      <c r="T39" s="121"/>
      <c r="U39" s="122"/>
      <c r="V39" s="122"/>
      <c r="W39" s="120"/>
      <c r="X39" s="8"/>
    </row>
    <row r="40" spans="1:24" x14ac:dyDescent="0.2">
      <c r="A40" s="5">
        <v>5</v>
      </c>
      <c r="B40" s="5"/>
      <c r="C40" s="10"/>
      <c r="D40" s="13"/>
      <c r="E40" s="14"/>
      <c r="F40" s="110"/>
      <c r="G40" s="110"/>
      <c r="H40" s="110"/>
      <c r="I40" s="110"/>
      <c r="J40" s="7"/>
      <c r="K40" s="7"/>
      <c r="L40" s="5"/>
      <c r="M40" s="5"/>
      <c r="N40" s="9"/>
      <c r="O40" s="6"/>
      <c r="P40" s="6"/>
      <c r="Q40" s="6"/>
      <c r="R40" s="6"/>
      <c r="S40" s="118"/>
      <c r="T40" s="121"/>
      <c r="U40" s="122"/>
      <c r="V40" s="122"/>
      <c r="W40" s="120"/>
      <c r="X40" s="8"/>
    </row>
    <row r="41" spans="1:24" x14ac:dyDescent="0.2">
      <c r="A41" s="5">
        <v>6</v>
      </c>
      <c r="B41" s="5"/>
      <c r="C41" s="10"/>
      <c r="D41" s="13"/>
      <c r="E41" s="14"/>
      <c r="F41" s="110"/>
      <c r="G41" s="110"/>
      <c r="H41" s="110"/>
      <c r="I41" s="110"/>
      <c r="J41" s="7"/>
      <c r="K41" s="7"/>
      <c r="L41" s="5"/>
      <c r="M41" s="5"/>
      <c r="N41" s="9"/>
      <c r="O41" s="6"/>
      <c r="P41" s="6"/>
      <c r="Q41" s="6"/>
      <c r="R41" s="6"/>
      <c r="S41" s="118"/>
      <c r="T41" s="121"/>
      <c r="U41" s="122"/>
      <c r="V41" s="122"/>
      <c r="W41" s="120"/>
      <c r="X41" s="8"/>
    </row>
    <row r="42" spans="1:24" x14ac:dyDescent="0.2">
      <c r="A42" s="5">
        <v>7</v>
      </c>
      <c r="B42" s="5"/>
      <c r="C42" s="10"/>
      <c r="D42" s="13"/>
      <c r="E42" s="14"/>
      <c r="F42" s="110"/>
      <c r="G42" s="110"/>
      <c r="H42" s="110"/>
      <c r="I42" s="110"/>
      <c r="J42" s="7"/>
      <c r="K42" s="7"/>
      <c r="L42" s="5"/>
      <c r="M42" s="5"/>
      <c r="N42" s="9"/>
      <c r="O42" s="6"/>
      <c r="P42" s="6"/>
      <c r="Q42" s="6"/>
      <c r="R42" s="6"/>
      <c r="S42" s="118"/>
      <c r="T42" s="121"/>
      <c r="U42" s="122"/>
      <c r="V42" s="122"/>
      <c r="W42" s="120"/>
      <c r="X42" s="8"/>
    </row>
    <row r="43" spans="1:24" x14ac:dyDescent="0.2">
      <c r="A43" s="5">
        <v>8</v>
      </c>
      <c r="B43" s="5"/>
      <c r="C43" s="10"/>
      <c r="D43" s="13"/>
      <c r="E43" s="14"/>
      <c r="F43" s="111"/>
      <c r="G43" s="112"/>
      <c r="H43" s="113"/>
      <c r="I43" s="114"/>
      <c r="J43" s="7"/>
      <c r="K43" s="7"/>
      <c r="L43" s="5"/>
      <c r="M43" s="5"/>
      <c r="N43" s="9"/>
      <c r="O43" s="6"/>
      <c r="P43" s="6"/>
      <c r="Q43" s="6"/>
      <c r="R43" s="6"/>
      <c r="S43" s="118"/>
      <c r="T43" s="121"/>
      <c r="U43" s="122"/>
      <c r="V43" s="122"/>
      <c r="W43" s="120"/>
      <c r="X43" s="8"/>
    </row>
    <row r="44" spans="1:24" x14ac:dyDescent="0.2">
      <c r="A44" s="5">
        <v>9</v>
      </c>
      <c r="B44" s="5"/>
      <c r="C44" s="10"/>
      <c r="D44" s="13"/>
      <c r="E44" s="14"/>
      <c r="F44" s="111"/>
      <c r="G44" s="112"/>
      <c r="H44" s="113"/>
      <c r="I44" s="114"/>
      <c r="J44" s="7"/>
      <c r="K44" s="7"/>
      <c r="L44" s="5"/>
      <c r="M44" s="5"/>
      <c r="N44" s="9"/>
      <c r="O44" s="6"/>
      <c r="P44" s="6"/>
      <c r="Q44" s="6"/>
      <c r="R44" s="6"/>
      <c r="S44" s="118"/>
      <c r="T44" s="121"/>
      <c r="U44" s="122"/>
      <c r="V44" s="122"/>
      <c r="W44" s="120"/>
      <c r="X44" s="8"/>
    </row>
    <row r="45" spans="1:24" x14ac:dyDescent="0.2">
      <c r="A45" s="5">
        <v>10</v>
      </c>
      <c r="B45" s="5"/>
      <c r="C45" s="10"/>
      <c r="D45" s="13"/>
      <c r="E45" s="14"/>
      <c r="F45" s="111">
        <v>1</v>
      </c>
      <c r="G45" s="113"/>
      <c r="H45" s="114"/>
      <c r="I45" s="114"/>
      <c r="J45" s="7"/>
      <c r="K45" s="7"/>
      <c r="L45" s="5"/>
      <c r="M45" s="5"/>
      <c r="N45" s="9"/>
      <c r="O45" s="6"/>
      <c r="P45" s="6"/>
      <c r="Q45" s="6"/>
      <c r="R45" s="6"/>
      <c r="S45" s="118"/>
      <c r="T45" s="121"/>
      <c r="U45" s="122"/>
      <c r="V45" s="122"/>
      <c r="W45" s="120"/>
      <c r="X45" s="8"/>
    </row>
    <row r="46" spans="1:24" x14ac:dyDescent="0.2">
      <c r="A46" s="5">
        <v>11</v>
      </c>
      <c r="B46" s="5"/>
      <c r="C46" s="10"/>
      <c r="D46" s="13"/>
      <c r="E46" s="14"/>
      <c r="F46" s="111"/>
      <c r="G46" s="113"/>
      <c r="H46" s="114"/>
      <c r="I46" s="114"/>
      <c r="J46" s="7"/>
      <c r="K46" s="7"/>
      <c r="L46" s="5"/>
      <c r="M46" s="5"/>
      <c r="N46" s="9"/>
      <c r="O46" s="6"/>
      <c r="P46" s="6"/>
      <c r="Q46" s="6"/>
      <c r="R46" s="6"/>
      <c r="S46" s="118"/>
      <c r="T46" s="121"/>
      <c r="U46" s="122"/>
      <c r="V46" s="122"/>
      <c r="W46" s="120"/>
      <c r="X46" s="8"/>
    </row>
    <row r="47" spans="1:24" x14ac:dyDescent="0.2">
      <c r="A47" s="5">
        <v>12</v>
      </c>
      <c r="B47" s="5"/>
      <c r="C47" s="10"/>
      <c r="D47" s="13"/>
      <c r="E47" s="6"/>
      <c r="F47" s="112"/>
      <c r="G47" s="109"/>
      <c r="H47" s="114"/>
      <c r="I47" s="114"/>
      <c r="J47" s="7"/>
      <c r="K47" s="7"/>
      <c r="L47" s="5"/>
      <c r="M47" s="5"/>
      <c r="N47" s="9"/>
      <c r="O47" s="6"/>
      <c r="P47" s="6"/>
      <c r="Q47" s="6"/>
      <c r="R47" s="6"/>
      <c r="S47" s="118"/>
      <c r="T47" s="121"/>
      <c r="U47" s="122"/>
      <c r="V47" s="122"/>
      <c r="W47" s="120"/>
      <c r="X47" s="8"/>
    </row>
    <row r="48" spans="1:24" x14ac:dyDescent="0.2">
      <c r="A48" s="5">
        <v>13</v>
      </c>
      <c r="B48" s="5"/>
      <c r="C48" s="10"/>
      <c r="D48" s="13"/>
      <c r="E48" s="6"/>
      <c r="F48" s="112"/>
      <c r="G48" s="109"/>
      <c r="H48" s="114"/>
      <c r="I48" s="114"/>
      <c r="J48" s="7"/>
      <c r="K48" s="7"/>
      <c r="L48" s="5"/>
      <c r="M48" s="5"/>
      <c r="N48" s="9"/>
      <c r="O48" s="6"/>
      <c r="P48" s="6"/>
      <c r="Q48" s="6"/>
      <c r="R48" s="6"/>
      <c r="S48" s="118"/>
      <c r="T48" s="121"/>
      <c r="U48" s="122"/>
      <c r="V48" s="122"/>
      <c r="W48" s="120"/>
      <c r="X48" s="8"/>
    </row>
    <row r="49" spans="1:24" x14ac:dyDescent="0.2">
      <c r="A49" s="5">
        <v>14</v>
      </c>
      <c r="B49" s="5"/>
      <c r="C49" s="10"/>
      <c r="D49" s="13"/>
      <c r="E49" s="6"/>
      <c r="F49" s="112"/>
      <c r="G49" s="109"/>
      <c r="H49" s="114"/>
      <c r="I49" s="114"/>
      <c r="J49" s="7"/>
      <c r="K49" s="7"/>
      <c r="L49" s="5"/>
      <c r="M49" s="5"/>
      <c r="N49" s="9"/>
      <c r="O49" s="6"/>
      <c r="P49" s="6"/>
      <c r="Q49" s="6"/>
      <c r="R49" s="6"/>
      <c r="S49" s="118"/>
      <c r="T49" s="121"/>
      <c r="U49" s="122"/>
      <c r="V49" s="122"/>
      <c r="W49" s="120"/>
      <c r="X49" s="8"/>
    </row>
    <row r="50" spans="1:24" ht="65.25" customHeight="1" x14ac:dyDescent="0.2">
      <c r="A50" s="5">
        <v>15</v>
      </c>
      <c r="B50" s="5"/>
      <c r="C50" s="10"/>
      <c r="D50" s="13"/>
      <c r="E50" s="6"/>
      <c r="F50" s="112"/>
      <c r="G50" s="109"/>
      <c r="H50" s="114"/>
      <c r="I50" s="114"/>
      <c r="J50" s="7"/>
      <c r="K50" s="7"/>
      <c r="L50" s="5"/>
      <c r="M50" s="5"/>
      <c r="N50" s="9"/>
      <c r="O50" s="6"/>
      <c r="P50" s="6"/>
      <c r="Q50" s="6"/>
      <c r="R50" s="6"/>
      <c r="S50" s="118"/>
      <c r="T50" s="121"/>
      <c r="U50" s="122"/>
      <c r="V50" s="122"/>
      <c r="W50" s="120"/>
      <c r="X50" s="8"/>
    </row>
    <row r="51" spans="1:24" x14ac:dyDescent="0.2">
      <c r="A51" s="5">
        <v>16</v>
      </c>
      <c r="B51" s="5"/>
      <c r="C51" s="10"/>
      <c r="D51" s="13"/>
      <c r="E51" s="6"/>
      <c r="F51" s="112"/>
      <c r="G51" s="109"/>
      <c r="H51" s="114"/>
      <c r="I51" s="114"/>
      <c r="J51" s="7"/>
      <c r="K51" s="7"/>
      <c r="L51" s="5"/>
      <c r="M51" s="5"/>
      <c r="N51" s="9"/>
      <c r="O51" s="6"/>
      <c r="P51" s="6"/>
      <c r="Q51" s="6"/>
      <c r="R51" s="6"/>
      <c r="S51" s="118"/>
      <c r="T51" s="121"/>
      <c r="U51" s="122"/>
      <c r="V51" s="122"/>
      <c r="W51" s="120"/>
      <c r="X51" s="8"/>
    </row>
    <row r="52" spans="1:24" x14ac:dyDescent="0.2">
      <c r="A52" s="5">
        <v>17</v>
      </c>
      <c r="B52" s="5"/>
      <c r="C52" s="10"/>
      <c r="D52" s="13"/>
      <c r="E52" s="14"/>
      <c r="F52" s="112"/>
      <c r="G52" s="109"/>
      <c r="H52" s="114"/>
      <c r="I52" s="114"/>
      <c r="J52" s="7"/>
      <c r="K52" s="7"/>
      <c r="L52" s="5"/>
      <c r="M52" s="5"/>
      <c r="N52" s="9"/>
      <c r="O52" s="6"/>
      <c r="P52" s="6"/>
      <c r="Q52" s="6"/>
      <c r="R52" s="6"/>
      <c r="S52" s="118"/>
      <c r="T52" s="121"/>
      <c r="U52" s="122"/>
      <c r="V52" s="122"/>
      <c r="W52" s="120"/>
      <c r="X52" s="8"/>
    </row>
    <row r="53" spans="1:24" x14ac:dyDescent="0.2">
      <c r="A53" s="5">
        <v>18</v>
      </c>
      <c r="B53" s="5"/>
      <c r="C53" s="10"/>
      <c r="D53" s="13"/>
      <c r="E53" s="14"/>
      <c r="F53" s="112"/>
      <c r="G53" s="109"/>
      <c r="H53" s="114"/>
      <c r="I53" s="114"/>
      <c r="J53" s="7"/>
      <c r="K53" s="7"/>
      <c r="L53" s="5"/>
      <c r="M53" s="5"/>
      <c r="N53" s="9"/>
      <c r="O53" s="6"/>
      <c r="P53" s="6"/>
      <c r="Q53" s="6"/>
      <c r="R53" s="6"/>
      <c r="S53" s="118"/>
      <c r="T53" s="121"/>
      <c r="U53" s="122"/>
      <c r="V53" s="122"/>
      <c r="W53" s="120"/>
      <c r="X53" s="8"/>
    </row>
    <row r="54" spans="1:24" x14ac:dyDescent="0.2">
      <c r="A54" s="5">
        <v>19</v>
      </c>
      <c r="B54" s="5"/>
      <c r="C54" s="10"/>
      <c r="D54" s="13"/>
      <c r="E54" s="14"/>
      <c r="F54" s="112"/>
      <c r="G54" s="109"/>
      <c r="H54" s="114"/>
      <c r="I54" s="114"/>
      <c r="J54" s="7"/>
      <c r="K54" s="7"/>
      <c r="L54" s="5"/>
      <c r="M54" s="5"/>
      <c r="N54" s="9"/>
      <c r="O54" s="6"/>
      <c r="P54" s="6"/>
      <c r="Q54" s="6"/>
      <c r="R54" s="6"/>
      <c r="S54" s="118"/>
      <c r="T54" s="121"/>
      <c r="U54" s="122"/>
      <c r="V54" s="122"/>
      <c r="W54" s="120"/>
      <c r="X54" s="8"/>
    </row>
    <row r="55" spans="1:24" x14ac:dyDescent="0.2">
      <c r="A55" s="5">
        <v>20</v>
      </c>
      <c r="B55" s="5"/>
      <c r="C55" s="10"/>
      <c r="D55" s="13"/>
      <c r="E55" s="6"/>
      <c r="F55" s="112"/>
      <c r="G55" s="114"/>
      <c r="H55" s="114"/>
      <c r="I55" s="114"/>
      <c r="J55" s="7"/>
      <c r="K55" s="7"/>
      <c r="L55" s="5"/>
      <c r="M55" s="5"/>
      <c r="N55" s="9"/>
      <c r="O55" s="18"/>
      <c r="P55" s="18"/>
      <c r="Q55" s="18"/>
      <c r="R55" s="18"/>
      <c r="S55" s="118"/>
      <c r="T55" s="121"/>
      <c r="U55" s="122"/>
      <c r="V55" s="122"/>
      <c r="W55" s="120"/>
      <c r="X55" s="8"/>
    </row>
    <row r="56" spans="1:24" x14ac:dyDescent="0.2">
      <c r="A56" s="5">
        <v>21</v>
      </c>
      <c r="B56" s="5"/>
      <c r="C56" s="10"/>
      <c r="D56" s="13"/>
      <c r="E56" s="6"/>
      <c r="F56" s="112"/>
      <c r="G56" s="114"/>
      <c r="H56" s="114"/>
      <c r="I56" s="114"/>
      <c r="J56" s="7"/>
      <c r="K56" s="7"/>
      <c r="L56" s="5"/>
      <c r="M56" s="5"/>
      <c r="N56" s="9"/>
      <c r="O56" s="18"/>
      <c r="P56" s="18"/>
      <c r="Q56" s="18"/>
      <c r="R56" s="18"/>
      <c r="S56" s="118"/>
      <c r="T56" s="121"/>
      <c r="U56" s="122"/>
      <c r="V56" s="122"/>
      <c r="W56" s="120"/>
      <c r="X56" s="8"/>
    </row>
    <row r="57" spans="1:24" x14ac:dyDescent="0.2">
      <c r="A57" s="5">
        <v>22</v>
      </c>
      <c r="B57" s="5"/>
      <c r="C57" s="10"/>
      <c r="D57" s="13"/>
      <c r="E57" s="6"/>
      <c r="F57" s="112"/>
      <c r="G57" s="114"/>
      <c r="H57" s="114"/>
      <c r="I57" s="114"/>
      <c r="J57" s="7"/>
      <c r="K57" s="7"/>
      <c r="L57" s="5"/>
      <c r="M57" s="5"/>
      <c r="N57" s="9"/>
      <c r="O57" s="18"/>
      <c r="P57" s="18"/>
      <c r="Q57" s="18"/>
      <c r="R57" s="18"/>
      <c r="S57" s="118"/>
      <c r="T57" s="121"/>
      <c r="U57" s="122"/>
      <c r="V57" s="122"/>
      <c r="W57" s="120"/>
      <c r="X57" s="8"/>
    </row>
    <row r="58" spans="1:24" x14ac:dyDescent="0.2">
      <c r="A58" s="5">
        <v>23</v>
      </c>
      <c r="B58" s="5"/>
      <c r="C58" s="10"/>
      <c r="D58" s="13"/>
      <c r="E58" s="6"/>
      <c r="F58" s="112"/>
      <c r="G58" s="114"/>
      <c r="H58" s="114"/>
      <c r="I58" s="114"/>
      <c r="J58" s="7"/>
      <c r="K58" s="7"/>
      <c r="L58" s="5"/>
      <c r="M58" s="5"/>
      <c r="N58" s="9"/>
      <c r="O58" s="18"/>
      <c r="P58" s="18"/>
      <c r="Q58" s="18"/>
      <c r="R58" s="18"/>
      <c r="S58" s="118"/>
      <c r="T58" s="121"/>
      <c r="U58" s="122"/>
      <c r="V58" s="122"/>
      <c r="W58" s="120"/>
      <c r="X58" s="8"/>
    </row>
    <row r="59" spans="1:24" x14ac:dyDescent="0.2">
      <c r="A59" s="5">
        <v>24</v>
      </c>
      <c r="B59" s="5"/>
      <c r="C59" s="10"/>
      <c r="D59" s="13"/>
      <c r="E59" s="6"/>
      <c r="F59" s="112"/>
      <c r="G59" s="114"/>
      <c r="H59" s="114"/>
      <c r="I59" s="114"/>
      <c r="J59" s="7"/>
      <c r="K59" s="7"/>
      <c r="L59" s="5"/>
      <c r="M59" s="5"/>
      <c r="N59" s="9"/>
      <c r="O59" s="18"/>
      <c r="P59" s="18"/>
      <c r="Q59" s="18"/>
      <c r="R59" s="18"/>
      <c r="S59" s="118"/>
      <c r="T59" s="121"/>
      <c r="U59" s="122"/>
      <c r="V59" s="122"/>
      <c r="W59" s="120"/>
      <c r="X59" s="8"/>
    </row>
    <row r="60" spans="1:24" x14ac:dyDescent="0.2">
      <c r="A60" s="5">
        <v>25</v>
      </c>
      <c r="B60" s="5"/>
      <c r="C60" s="10"/>
      <c r="D60" s="13"/>
      <c r="E60" s="6"/>
      <c r="F60" s="112"/>
      <c r="G60" s="114"/>
      <c r="H60" s="114"/>
      <c r="I60" s="114"/>
      <c r="J60" s="7"/>
      <c r="K60" s="7"/>
      <c r="L60" s="5"/>
      <c r="M60" s="5"/>
      <c r="N60" s="9"/>
      <c r="O60" s="18"/>
      <c r="P60" s="18"/>
      <c r="Q60" s="18"/>
      <c r="R60" s="18"/>
      <c r="S60" s="118"/>
      <c r="T60" s="121"/>
      <c r="U60" s="122"/>
      <c r="V60" s="122"/>
      <c r="W60" s="120"/>
      <c r="X60" s="8"/>
    </row>
    <row r="61" spans="1:24" x14ac:dyDescent="0.2">
      <c r="A61" s="5">
        <v>26</v>
      </c>
      <c r="B61" s="5"/>
      <c r="C61" s="10"/>
      <c r="D61" s="13"/>
      <c r="E61" s="6"/>
      <c r="F61" s="112"/>
      <c r="G61" s="114"/>
      <c r="H61" s="114"/>
      <c r="I61" s="114"/>
      <c r="J61" s="7"/>
      <c r="K61" s="7"/>
      <c r="L61" s="5"/>
      <c r="M61" s="5"/>
      <c r="N61" s="9"/>
      <c r="O61" s="18"/>
      <c r="P61" s="18"/>
      <c r="Q61" s="18"/>
      <c r="R61" s="18"/>
      <c r="S61" s="118"/>
      <c r="T61" s="121"/>
      <c r="U61" s="122"/>
      <c r="V61" s="122"/>
      <c r="W61" s="120"/>
      <c r="X61" s="8"/>
    </row>
    <row r="62" spans="1:24" x14ac:dyDescent="0.2">
      <c r="A62" s="5">
        <v>27</v>
      </c>
      <c r="B62" s="5"/>
      <c r="C62" s="10"/>
      <c r="D62" s="13"/>
      <c r="E62" s="6"/>
      <c r="F62" s="112"/>
      <c r="G62" s="114"/>
      <c r="H62" s="114"/>
      <c r="I62" s="114"/>
      <c r="J62" s="7"/>
      <c r="K62" s="7"/>
      <c r="L62" s="5"/>
      <c r="M62" s="5"/>
      <c r="N62" s="9"/>
      <c r="O62" s="18"/>
      <c r="P62" s="18"/>
      <c r="Q62" s="18"/>
      <c r="R62" s="18"/>
      <c r="S62" s="118"/>
      <c r="T62" s="121"/>
      <c r="U62" s="122"/>
      <c r="V62" s="122"/>
      <c r="W62" s="120"/>
      <c r="X62" s="8"/>
    </row>
    <row r="63" spans="1:24" x14ac:dyDescent="0.2">
      <c r="A63" s="5">
        <v>28</v>
      </c>
      <c r="B63" s="5"/>
      <c r="C63" s="10"/>
      <c r="D63" s="13"/>
      <c r="E63" s="6"/>
      <c r="F63" s="112"/>
      <c r="G63" s="114"/>
      <c r="H63" s="114"/>
      <c r="I63" s="114"/>
      <c r="J63" s="7"/>
      <c r="K63" s="7"/>
      <c r="L63" s="5"/>
      <c r="M63" s="5"/>
      <c r="N63" s="9"/>
      <c r="O63" s="18"/>
      <c r="P63" s="18"/>
      <c r="Q63" s="18"/>
      <c r="R63" s="18"/>
      <c r="S63" s="118"/>
      <c r="T63" s="121"/>
      <c r="U63" s="122"/>
      <c r="V63" s="122"/>
      <c r="W63" s="120"/>
      <c r="X63" s="8"/>
    </row>
    <row r="64" spans="1:24" x14ac:dyDescent="0.2">
      <c r="A64" s="5">
        <v>29</v>
      </c>
      <c r="B64" s="5"/>
      <c r="C64" s="10"/>
      <c r="D64" s="13"/>
      <c r="E64" s="6"/>
      <c r="F64" s="112"/>
      <c r="G64" s="114"/>
      <c r="H64" s="114"/>
      <c r="I64" s="114"/>
      <c r="J64" s="7"/>
      <c r="K64" s="7"/>
      <c r="L64" s="5"/>
      <c r="M64" s="5"/>
      <c r="N64" s="9"/>
      <c r="O64" s="18"/>
      <c r="P64" s="18"/>
      <c r="Q64" s="18"/>
      <c r="R64" s="18"/>
      <c r="S64" s="118"/>
      <c r="T64" s="121"/>
      <c r="U64" s="122"/>
      <c r="V64" s="122"/>
      <c r="W64" s="120"/>
      <c r="X64" s="8"/>
    </row>
    <row r="65" spans="1:24" x14ac:dyDescent="0.2">
      <c r="A65" s="5">
        <v>30</v>
      </c>
      <c r="B65" s="5"/>
      <c r="C65" s="10"/>
      <c r="D65" s="13"/>
      <c r="E65" s="6"/>
      <c r="F65" s="112"/>
      <c r="G65" s="114"/>
      <c r="H65" s="114"/>
      <c r="I65" s="114"/>
      <c r="J65" s="7"/>
      <c r="K65" s="7"/>
      <c r="L65" s="5"/>
      <c r="M65" s="5"/>
      <c r="N65" s="9"/>
      <c r="O65" s="18"/>
      <c r="P65" s="18"/>
      <c r="Q65" s="18"/>
      <c r="R65" s="18"/>
      <c r="S65" s="118"/>
      <c r="T65" s="121"/>
      <c r="U65" s="122"/>
      <c r="V65" s="122"/>
      <c r="W65" s="120"/>
      <c r="X65" s="8"/>
    </row>
    <row r="66" spans="1:24" x14ac:dyDescent="0.2">
      <c r="A66" s="5">
        <v>31</v>
      </c>
      <c r="B66" s="5"/>
      <c r="C66" s="10"/>
      <c r="D66" s="13"/>
      <c r="E66" s="6"/>
      <c r="F66" s="112"/>
      <c r="G66" s="114"/>
      <c r="H66" s="114"/>
      <c r="I66" s="114"/>
      <c r="J66" s="7"/>
      <c r="K66" s="7"/>
      <c r="L66" s="5"/>
      <c r="M66" s="5"/>
      <c r="N66" s="9"/>
      <c r="O66" s="18"/>
      <c r="P66" s="18"/>
      <c r="Q66" s="18"/>
      <c r="R66" s="18"/>
      <c r="S66" s="118"/>
      <c r="T66" s="121"/>
      <c r="U66" s="122"/>
      <c r="V66" s="122"/>
      <c r="W66" s="120"/>
      <c r="X66" s="8"/>
    </row>
    <row r="67" spans="1:24" x14ac:dyDescent="0.2">
      <c r="A67" s="5">
        <v>32</v>
      </c>
      <c r="B67" s="5"/>
      <c r="C67" s="10"/>
      <c r="D67" s="13"/>
      <c r="E67" s="6"/>
      <c r="F67" s="112"/>
      <c r="G67" s="114"/>
      <c r="H67" s="114"/>
      <c r="I67" s="114"/>
      <c r="J67" s="7"/>
      <c r="K67" s="7"/>
      <c r="L67" s="5"/>
      <c r="M67" s="5"/>
      <c r="N67" s="9"/>
      <c r="O67" s="18"/>
      <c r="P67" s="18"/>
      <c r="Q67" s="18"/>
      <c r="R67" s="18"/>
      <c r="S67" s="118"/>
      <c r="T67" s="121"/>
      <c r="U67" s="122"/>
      <c r="V67" s="122"/>
      <c r="W67" s="120"/>
      <c r="X67" s="8"/>
    </row>
    <row r="68" spans="1:24" x14ac:dyDescent="0.2">
      <c r="A68" s="5">
        <v>33</v>
      </c>
      <c r="B68" s="5"/>
      <c r="C68" s="10"/>
      <c r="D68" s="13"/>
      <c r="E68" s="6"/>
      <c r="F68" s="112"/>
      <c r="G68" s="114"/>
      <c r="H68" s="114"/>
      <c r="I68" s="114"/>
      <c r="J68" s="7"/>
      <c r="K68" s="7"/>
      <c r="L68" s="5"/>
      <c r="M68" s="5"/>
      <c r="N68" s="9"/>
      <c r="O68" s="18"/>
      <c r="P68" s="18"/>
      <c r="Q68" s="18"/>
      <c r="R68" s="18"/>
      <c r="S68" s="118"/>
      <c r="T68" s="121"/>
      <c r="U68" s="122"/>
      <c r="V68" s="122"/>
      <c r="W68" s="120"/>
      <c r="X68" s="8"/>
    </row>
    <row r="69" spans="1:24" x14ac:dyDescent="0.2">
      <c r="A69" s="5">
        <v>34</v>
      </c>
      <c r="B69" s="5"/>
      <c r="C69" s="10"/>
      <c r="D69" s="13"/>
      <c r="E69" s="6"/>
      <c r="F69" s="112"/>
      <c r="G69" s="114"/>
      <c r="H69" s="114"/>
      <c r="I69" s="114"/>
      <c r="J69" s="7"/>
      <c r="K69" s="7"/>
      <c r="L69" s="5"/>
      <c r="M69" s="5"/>
      <c r="N69" s="9"/>
      <c r="O69" s="18"/>
      <c r="P69" s="18"/>
      <c r="Q69" s="18"/>
      <c r="R69" s="18"/>
      <c r="S69" s="118"/>
      <c r="T69" s="121"/>
      <c r="U69" s="122"/>
      <c r="V69" s="122"/>
      <c r="W69" s="120"/>
      <c r="X69" s="8"/>
    </row>
    <row r="70" spans="1:24" x14ac:dyDescent="0.2">
      <c r="A70" s="5">
        <v>35</v>
      </c>
      <c r="B70" s="5"/>
      <c r="C70" s="10"/>
      <c r="D70" s="13"/>
      <c r="E70" s="6"/>
      <c r="F70" s="114"/>
      <c r="G70" s="114"/>
      <c r="H70" s="114"/>
      <c r="I70" s="114"/>
      <c r="J70" s="7"/>
      <c r="K70" s="7"/>
      <c r="L70" s="5"/>
      <c r="M70" s="5"/>
      <c r="N70" s="9"/>
      <c r="O70" s="12"/>
      <c r="P70" s="58"/>
      <c r="Q70" s="58"/>
      <c r="R70" s="58"/>
      <c r="S70" s="118"/>
      <c r="T70" s="121"/>
      <c r="U70" s="122"/>
      <c r="V70" s="122"/>
      <c r="W70" s="120"/>
      <c r="X70" s="8"/>
    </row>
    <row r="71" spans="1:24" ht="96" customHeight="1" x14ac:dyDescent="0.2">
      <c r="A71" s="5">
        <v>36</v>
      </c>
      <c r="B71" s="5"/>
      <c r="C71" s="10"/>
      <c r="D71" s="13"/>
      <c r="E71" s="6"/>
      <c r="F71" s="112"/>
      <c r="G71" s="109"/>
      <c r="H71" s="114"/>
      <c r="I71" s="114"/>
      <c r="J71" s="7"/>
      <c r="K71" s="7"/>
      <c r="L71" s="5"/>
      <c r="M71" s="5"/>
      <c r="N71" s="9"/>
      <c r="O71" s="6"/>
      <c r="P71" s="6"/>
      <c r="Q71" s="6"/>
      <c r="R71" s="6"/>
      <c r="S71" s="118"/>
      <c r="T71" s="121"/>
      <c r="U71" s="122"/>
      <c r="V71" s="122"/>
      <c r="W71" s="120"/>
      <c r="X71" s="8"/>
    </row>
    <row r="72" spans="1:24" ht="43.5" customHeight="1" x14ac:dyDescent="0.2">
      <c r="A72" s="5">
        <v>37</v>
      </c>
      <c r="B72" s="5"/>
      <c r="C72" s="10"/>
      <c r="D72" s="13"/>
      <c r="E72" s="6"/>
      <c r="F72" s="112"/>
      <c r="G72" s="109"/>
      <c r="H72" s="114"/>
      <c r="I72" s="114"/>
      <c r="J72" s="7"/>
      <c r="K72" s="7"/>
      <c r="L72" s="5"/>
      <c r="M72" s="5"/>
      <c r="N72" s="9"/>
      <c r="O72" s="6"/>
      <c r="P72" s="6"/>
      <c r="Q72" s="6"/>
      <c r="R72" s="6"/>
      <c r="S72" s="118"/>
      <c r="T72" s="121"/>
      <c r="U72" s="122"/>
      <c r="V72" s="122"/>
      <c r="W72" s="120"/>
      <c r="X72" s="8"/>
    </row>
    <row r="73" spans="1:24" x14ac:dyDescent="0.2">
      <c r="A73" s="5">
        <v>38</v>
      </c>
      <c r="B73" s="5"/>
      <c r="C73" s="10"/>
      <c r="D73" s="13"/>
      <c r="E73" s="6"/>
      <c r="F73" s="112"/>
      <c r="G73" s="109"/>
      <c r="H73" s="114"/>
      <c r="I73" s="114"/>
      <c r="J73" s="7"/>
      <c r="K73" s="7"/>
      <c r="L73" s="5"/>
      <c r="M73" s="5"/>
      <c r="N73" s="9"/>
      <c r="O73" s="6"/>
      <c r="P73" s="6"/>
      <c r="Q73" s="6"/>
      <c r="R73" s="6"/>
      <c r="S73" s="118"/>
      <c r="T73" s="121"/>
      <c r="U73" s="122"/>
      <c r="V73" s="122"/>
      <c r="W73" s="120"/>
      <c r="X73" s="8"/>
    </row>
    <row r="74" spans="1:24" x14ac:dyDescent="0.2">
      <c r="A74" s="5">
        <v>39</v>
      </c>
      <c r="B74" s="5"/>
      <c r="C74" s="10"/>
      <c r="D74" s="13"/>
      <c r="E74" s="6"/>
      <c r="F74" s="112"/>
      <c r="G74" s="109"/>
      <c r="H74" s="114"/>
      <c r="I74" s="114"/>
      <c r="J74" s="7"/>
      <c r="K74" s="7"/>
      <c r="L74" s="5"/>
      <c r="M74" s="5"/>
      <c r="N74" s="9"/>
      <c r="O74" s="6"/>
      <c r="P74" s="6"/>
      <c r="Q74" s="6"/>
      <c r="R74" s="6"/>
      <c r="S74" s="118"/>
      <c r="T74" s="121"/>
      <c r="U74" s="122"/>
      <c r="V74" s="122"/>
      <c r="W74" s="120"/>
      <c r="X74" s="8"/>
    </row>
    <row r="75" spans="1:24" x14ac:dyDescent="0.2">
      <c r="A75" s="5">
        <v>40</v>
      </c>
      <c r="B75" s="5"/>
      <c r="C75" s="10"/>
      <c r="D75" s="13"/>
      <c r="E75" s="6"/>
      <c r="F75" s="115"/>
      <c r="G75" s="114"/>
      <c r="H75" s="114"/>
      <c r="I75" s="114"/>
      <c r="J75" s="7"/>
      <c r="K75" s="7"/>
      <c r="L75" s="5"/>
      <c r="M75" s="5"/>
      <c r="N75" s="9"/>
      <c r="O75" s="6"/>
      <c r="P75" s="6"/>
      <c r="Q75" s="6"/>
      <c r="R75" s="6"/>
      <c r="S75" s="118"/>
      <c r="T75" s="121"/>
      <c r="U75" s="122"/>
      <c r="V75" s="122"/>
      <c r="W75" s="120"/>
      <c r="X75" s="8"/>
    </row>
    <row r="76" spans="1:24" x14ac:dyDescent="0.2">
      <c r="A76" s="5">
        <v>41</v>
      </c>
      <c r="B76" s="5"/>
      <c r="C76" s="10"/>
      <c r="D76" s="13"/>
      <c r="E76" s="6"/>
      <c r="F76" s="114"/>
      <c r="G76" s="114"/>
      <c r="H76" s="114"/>
      <c r="I76" s="114"/>
      <c r="J76" s="7"/>
      <c r="K76" s="7"/>
      <c r="L76" s="5"/>
      <c r="M76" s="5"/>
      <c r="N76" s="6"/>
      <c r="O76" s="6"/>
      <c r="P76" s="6"/>
      <c r="Q76" s="6"/>
      <c r="R76" s="6"/>
      <c r="S76" s="118"/>
      <c r="T76" s="121"/>
      <c r="U76" s="122"/>
      <c r="V76" s="122"/>
      <c r="W76" s="120"/>
      <c r="X76" s="8"/>
    </row>
    <row r="77" spans="1:24" x14ac:dyDescent="0.2">
      <c r="A77" s="5">
        <v>42</v>
      </c>
      <c r="B77" s="5"/>
      <c r="C77" s="10"/>
      <c r="D77" s="13"/>
      <c r="E77" s="6"/>
      <c r="F77" s="111"/>
      <c r="G77" s="109"/>
      <c r="H77" s="114"/>
      <c r="I77" s="114"/>
      <c r="J77" s="7"/>
      <c r="K77" s="7"/>
      <c r="L77" s="5"/>
      <c r="M77" s="5"/>
      <c r="N77" s="9"/>
      <c r="O77" s="6"/>
      <c r="P77" s="6"/>
      <c r="Q77" s="6"/>
      <c r="R77" s="6"/>
      <c r="S77" s="118"/>
      <c r="T77" s="121"/>
      <c r="U77" s="122"/>
      <c r="V77" s="122"/>
      <c r="W77" s="120"/>
      <c r="X77" s="8"/>
    </row>
    <row r="78" spans="1:24" x14ac:dyDescent="0.2">
      <c r="A78" s="5">
        <v>43</v>
      </c>
      <c r="B78" s="5"/>
      <c r="C78" s="10"/>
      <c r="D78" s="13"/>
      <c r="E78" s="6"/>
      <c r="F78" s="111"/>
      <c r="G78" s="109"/>
      <c r="H78" s="114"/>
      <c r="I78" s="114"/>
      <c r="J78" s="7"/>
      <c r="K78" s="7"/>
      <c r="L78" s="5"/>
      <c r="M78" s="5"/>
      <c r="N78" s="9"/>
      <c r="O78" s="6"/>
      <c r="P78" s="6"/>
      <c r="Q78" s="6"/>
      <c r="R78" s="6"/>
      <c r="S78" s="118"/>
      <c r="T78" s="121"/>
      <c r="U78" s="122"/>
      <c r="V78" s="122"/>
      <c r="W78" s="120"/>
      <c r="X78" s="8"/>
    </row>
    <row r="79" spans="1:24" x14ac:dyDescent="0.2">
      <c r="A79" s="5">
        <v>44</v>
      </c>
      <c r="B79" s="5"/>
      <c r="C79" s="10"/>
      <c r="D79" s="13"/>
      <c r="E79" s="6"/>
      <c r="F79" s="111"/>
      <c r="G79" s="109"/>
      <c r="H79" s="114"/>
      <c r="I79" s="114"/>
      <c r="J79" s="7"/>
      <c r="K79" s="7"/>
      <c r="L79" s="5"/>
      <c r="M79" s="5"/>
      <c r="N79" s="9"/>
      <c r="O79" s="6"/>
      <c r="P79" s="6"/>
      <c r="Q79" s="6"/>
      <c r="R79" s="6"/>
      <c r="S79" s="118"/>
      <c r="T79" s="121"/>
      <c r="U79" s="122"/>
      <c r="V79" s="122"/>
      <c r="W79" s="120"/>
      <c r="X79" s="8"/>
    </row>
    <row r="80" spans="1:24" x14ac:dyDescent="0.2">
      <c r="A80" s="5">
        <v>45</v>
      </c>
      <c r="B80" s="5"/>
      <c r="C80" s="10"/>
      <c r="D80" s="13"/>
      <c r="E80" s="6"/>
      <c r="F80" s="111"/>
      <c r="G80" s="109"/>
      <c r="H80" s="114"/>
      <c r="I80" s="114"/>
      <c r="J80" s="7"/>
      <c r="K80" s="7"/>
      <c r="L80" s="5"/>
      <c r="M80" s="5"/>
      <c r="N80" s="9"/>
      <c r="O80" s="6"/>
      <c r="P80" s="6"/>
      <c r="Q80" s="6"/>
      <c r="R80" s="6"/>
      <c r="S80" s="118"/>
      <c r="T80" s="121"/>
      <c r="U80" s="122"/>
      <c r="V80" s="122"/>
      <c r="W80" s="120"/>
      <c r="X80" s="8"/>
    </row>
    <row r="81" spans="1:24" x14ac:dyDescent="0.2">
      <c r="A81" s="5">
        <v>46</v>
      </c>
      <c r="B81" s="5"/>
      <c r="C81" s="10"/>
      <c r="D81" s="13"/>
      <c r="E81" s="6"/>
      <c r="F81" s="111"/>
      <c r="G81" s="109"/>
      <c r="H81" s="114"/>
      <c r="I81" s="114"/>
      <c r="J81" s="7"/>
      <c r="K81" s="7"/>
      <c r="L81" s="5"/>
      <c r="M81" s="5"/>
      <c r="N81" s="9"/>
      <c r="O81" s="6"/>
      <c r="P81" s="6"/>
      <c r="Q81" s="6"/>
      <c r="R81" s="6"/>
      <c r="S81" s="118"/>
      <c r="T81" s="121"/>
      <c r="U81" s="122"/>
      <c r="V81" s="122"/>
      <c r="W81" s="120"/>
      <c r="X81" s="8"/>
    </row>
    <row r="82" spans="1:24" x14ac:dyDescent="0.2">
      <c r="A82" s="5">
        <v>47</v>
      </c>
      <c r="B82" s="5"/>
      <c r="C82" s="10"/>
      <c r="D82" s="13"/>
      <c r="E82" s="6"/>
      <c r="F82" s="111"/>
      <c r="G82" s="109"/>
      <c r="H82" s="114"/>
      <c r="I82" s="114"/>
      <c r="J82" s="7"/>
      <c r="K82" s="7"/>
      <c r="L82" s="5"/>
      <c r="M82" s="5"/>
      <c r="N82" s="9"/>
      <c r="O82" s="6"/>
      <c r="P82" s="6"/>
      <c r="Q82" s="6"/>
      <c r="R82" s="6"/>
      <c r="S82" s="118"/>
      <c r="T82" s="121"/>
      <c r="U82" s="122"/>
      <c r="V82" s="122"/>
      <c r="W82" s="120"/>
      <c r="X82" s="8"/>
    </row>
    <row r="83" spans="1:24" x14ac:dyDescent="0.2">
      <c r="A83" s="5">
        <v>48</v>
      </c>
      <c r="B83" s="5"/>
      <c r="C83" s="10"/>
      <c r="D83" s="13"/>
      <c r="E83" s="6"/>
      <c r="F83" s="111"/>
      <c r="G83" s="109"/>
      <c r="H83" s="114"/>
      <c r="I83" s="114"/>
      <c r="J83" s="7"/>
      <c r="K83" s="7"/>
      <c r="L83" s="5"/>
      <c r="M83" s="5"/>
      <c r="N83" s="9"/>
      <c r="O83" s="6"/>
      <c r="P83" s="6"/>
      <c r="Q83" s="6"/>
      <c r="R83" s="6"/>
      <c r="S83" s="118"/>
      <c r="T83" s="121"/>
      <c r="U83" s="122"/>
      <c r="V83" s="122"/>
      <c r="W83" s="120"/>
      <c r="X83" s="8"/>
    </row>
    <row r="84" spans="1:24" x14ac:dyDescent="0.2">
      <c r="A84" s="5">
        <v>49</v>
      </c>
      <c r="B84" s="5"/>
      <c r="C84" s="10"/>
      <c r="D84" s="13"/>
      <c r="E84" s="14"/>
      <c r="F84" s="112"/>
      <c r="G84" s="112"/>
      <c r="H84" s="114"/>
      <c r="I84" s="114"/>
      <c r="J84" s="7"/>
      <c r="K84" s="7"/>
      <c r="L84" s="5"/>
      <c r="M84" s="5"/>
      <c r="N84" s="9"/>
      <c r="O84" s="6"/>
      <c r="P84" s="6"/>
      <c r="Q84" s="6"/>
      <c r="R84" s="6"/>
      <c r="S84" s="118"/>
      <c r="T84" s="121"/>
      <c r="U84" s="122"/>
      <c r="V84" s="122"/>
      <c r="W84" s="120"/>
      <c r="X84" s="8"/>
    </row>
    <row r="85" spans="1:24" x14ac:dyDescent="0.2">
      <c r="A85" s="5">
        <v>50</v>
      </c>
      <c r="B85" s="5"/>
      <c r="C85" s="10"/>
      <c r="D85" s="13"/>
      <c r="E85" s="6"/>
      <c r="F85" s="112"/>
      <c r="G85" s="112"/>
      <c r="H85" s="114"/>
      <c r="I85" s="114"/>
      <c r="J85" s="7"/>
      <c r="K85" s="7"/>
      <c r="L85" s="5"/>
      <c r="M85" s="5"/>
      <c r="N85" s="9"/>
      <c r="O85" s="41"/>
      <c r="P85" s="41"/>
      <c r="Q85" s="41"/>
      <c r="R85" s="41"/>
      <c r="S85" s="118"/>
      <c r="T85" s="121"/>
      <c r="U85" s="122"/>
      <c r="V85" s="122"/>
      <c r="W85" s="120"/>
      <c r="X85" s="8"/>
    </row>
    <row r="86" spans="1:24" x14ac:dyDescent="0.2">
      <c r="A86" s="5">
        <v>51</v>
      </c>
      <c r="B86" s="5"/>
      <c r="C86" s="10"/>
      <c r="D86" s="13"/>
      <c r="E86" s="6"/>
      <c r="F86" s="112"/>
      <c r="G86" s="112"/>
      <c r="H86" s="114"/>
      <c r="I86" s="114"/>
      <c r="J86" s="7"/>
      <c r="K86" s="7"/>
      <c r="L86" s="5"/>
      <c r="M86" s="5"/>
      <c r="N86" s="9"/>
      <c r="O86" s="6"/>
      <c r="P86" s="6"/>
      <c r="Q86" s="6"/>
      <c r="R86" s="6"/>
      <c r="S86" s="118"/>
      <c r="T86" s="121"/>
      <c r="U86" s="122"/>
      <c r="V86" s="122"/>
      <c r="W86" s="120"/>
      <c r="X86" s="8"/>
    </row>
    <row r="87" spans="1:24" x14ac:dyDescent="0.2">
      <c r="A87" s="5">
        <v>52</v>
      </c>
      <c r="B87" s="5"/>
      <c r="C87" s="10"/>
      <c r="D87" s="13"/>
      <c r="E87" s="6"/>
      <c r="F87" s="112"/>
      <c r="G87" s="112"/>
      <c r="H87" s="114"/>
      <c r="I87" s="114"/>
      <c r="J87" s="7"/>
      <c r="K87" s="7"/>
      <c r="L87" s="5"/>
      <c r="M87" s="5"/>
      <c r="N87" s="9"/>
      <c r="O87" s="6"/>
      <c r="P87" s="6"/>
      <c r="Q87" s="6"/>
      <c r="R87" s="6"/>
      <c r="S87" s="118"/>
      <c r="T87" s="121"/>
      <c r="U87" s="122"/>
      <c r="V87" s="122"/>
      <c r="W87" s="120"/>
      <c r="X87" s="8"/>
    </row>
    <row r="88" spans="1:24" x14ac:dyDescent="0.2">
      <c r="A88" s="5">
        <v>53</v>
      </c>
      <c r="B88" s="5"/>
      <c r="C88" s="10"/>
      <c r="D88" s="13"/>
      <c r="E88" s="6"/>
      <c r="F88" s="112"/>
      <c r="G88" s="112"/>
      <c r="H88" s="114"/>
      <c r="I88" s="114"/>
      <c r="J88" s="7"/>
      <c r="K88" s="7"/>
      <c r="L88" s="5"/>
      <c r="M88" s="5"/>
      <c r="N88" s="9"/>
      <c r="O88" s="6"/>
      <c r="P88" s="6"/>
      <c r="Q88" s="6"/>
      <c r="R88" s="6"/>
      <c r="S88" s="118"/>
      <c r="T88" s="121"/>
      <c r="U88" s="122"/>
      <c r="V88" s="122"/>
      <c r="W88" s="120"/>
      <c r="X88" s="8"/>
    </row>
    <row r="89" spans="1:24" x14ac:dyDescent="0.2">
      <c r="A89" s="5">
        <v>54</v>
      </c>
      <c r="B89" s="5"/>
      <c r="C89" s="10"/>
      <c r="D89" s="13"/>
      <c r="E89" s="6"/>
      <c r="F89" s="112"/>
      <c r="G89" s="112"/>
      <c r="H89" s="114"/>
      <c r="I89" s="114"/>
      <c r="J89" s="7"/>
      <c r="K89" s="7"/>
      <c r="L89" s="5"/>
      <c r="M89" s="5"/>
      <c r="N89" s="9"/>
      <c r="O89" s="6"/>
      <c r="P89" s="6"/>
      <c r="Q89" s="6"/>
      <c r="R89" s="6"/>
      <c r="S89" s="118"/>
      <c r="T89" s="121"/>
      <c r="U89" s="122"/>
      <c r="V89" s="122"/>
      <c r="W89" s="120"/>
      <c r="X89" s="8"/>
    </row>
    <row r="90" spans="1:24" x14ac:dyDescent="0.2">
      <c r="A90" s="5">
        <v>55</v>
      </c>
      <c r="B90" s="5"/>
      <c r="C90" s="10"/>
      <c r="D90" s="13"/>
      <c r="E90" s="14"/>
      <c r="F90" s="112"/>
      <c r="G90" s="112"/>
      <c r="H90" s="114"/>
      <c r="I90" s="114"/>
      <c r="J90" s="7"/>
      <c r="K90" s="7"/>
      <c r="L90" s="5"/>
      <c r="M90" s="5"/>
      <c r="N90" s="9"/>
      <c r="O90" s="6"/>
      <c r="P90" s="6"/>
      <c r="Q90" s="6"/>
      <c r="R90" s="6"/>
      <c r="S90" s="118"/>
      <c r="T90" s="121"/>
      <c r="U90" s="122"/>
      <c r="V90" s="122"/>
      <c r="W90" s="120"/>
      <c r="X90" s="8"/>
    </row>
    <row r="91" spans="1:24" x14ac:dyDescent="0.2">
      <c r="A91" s="5">
        <v>56</v>
      </c>
      <c r="B91" s="5"/>
      <c r="C91" s="10"/>
      <c r="D91" s="13"/>
      <c r="E91" s="14"/>
      <c r="F91" s="112"/>
      <c r="G91" s="112"/>
      <c r="H91" s="114"/>
      <c r="I91" s="114"/>
      <c r="J91" s="7"/>
      <c r="K91" s="7"/>
      <c r="L91" s="5"/>
      <c r="M91" s="5"/>
      <c r="N91" s="9"/>
      <c r="O91" s="6"/>
      <c r="P91" s="6"/>
      <c r="Q91" s="6"/>
      <c r="R91" s="6"/>
      <c r="S91" s="118"/>
      <c r="T91" s="121"/>
      <c r="U91" s="122"/>
      <c r="V91" s="122"/>
      <c r="W91" s="120"/>
      <c r="X91" s="8"/>
    </row>
    <row r="92" spans="1:24" x14ac:dyDescent="0.2">
      <c r="A92" s="5">
        <v>57</v>
      </c>
      <c r="B92" s="5"/>
      <c r="C92" s="10"/>
      <c r="D92" s="13"/>
      <c r="E92" s="14"/>
      <c r="F92" s="112"/>
      <c r="G92" s="112"/>
      <c r="H92" s="114"/>
      <c r="I92" s="114"/>
      <c r="J92" s="7"/>
      <c r="K92" s="7"/>
      <c r="L92" s="5"/>
      <c r="M92" s="5"/>
      <c r="N92" s="9"/>
      <c r="O92" s="6"/>
      <c r="P92" s="6"/>
      <c r="Q92" s="6"/>
      <c r="R92" s="6"/>
      <c r="S92" s="118"/>
      <c r="T92" s="121"/>
      <c r="U92" s="122"/>
      <c r="V92" s="122"/>
      <c r="W92" s="120"/>
      <c r="X92" s="8"/>
    </row>
    <row r="93" spans="1:24" x14ac:dyDescent="0.2">
      <c r="A93" s="5">
        <v>58</v>
      </c>
      <c r="B93" s="5"/>
      <c r="C93" s="10"/>
      <c r="D93" s="13"/>
      <c r="E93" s="14"/>
      <c r="F93" s="112"/>
      <c r="G93" s="112"/>
      <c r="H93" s="114"/>
      <c r="I93" s="114"/>
      <c r="J93" s="7"/>
      <c r="K93" s="7"/>
      <c r="L93" s="5"/>
      <c r="M93" s="5"/>
      <c r="N93" s="9"/>
      <c r="O93" s="6"/>
      <c r="P93" s="6"/>
      <c r="Q93" s="6"/>
      <c r="R93" s="6"/>
      <c r="S93" s="118"/>
      <c r="T93" s="121"/>
      <c r="U93" s="122"/>
      <c r="V93" s="122"/>
      <c r="W93" s="120"/>
      <c r="X93" s="8"/>
    </row>
    <row r="94" spans="1:24" x14ac:dyDescent="0.2">
      <c r="A94" s="5">
        <v>59</v>
      </c>
      <c r="B94" s="5"/>
      <c r="C94" s="10"/>
      <c r="D94" s="13"/>
      <c r="E94" s="14"/>
      <c r="F94" s="112"/>
      <c r="G94" s="112"/>
      <c r="H94" s="114"/>
      <c r="I94" s="114"/>
      <c r="J94" s="7"/>
      <c r="K94" s="7"/>
      <c r="L94" s="5"/>
      <c r="M94" s="5"/>
      <c r="N94" s="9"/>
      <c r="O94" s="6"/>
      <c r="P94" s="6"/>
      <c r="Q94" s="6"/>
      <c r="R94" s="6"/>
      <c r="S94" s="118"/>
      <c r="T94" s="121"/>
      <c r="U94" s="122"/>
      <c r="V94" s="122"/>
      <c r="W94" s="120"/>
      <c r="X94" s="8"/>
    </row>
    <row r="95" spans="1:24" x14ac:dyDescent="0.2">
      <c r="A95" s="5">
        <v>60</v>
      </c>
      <c r="B95" s="5"/>
      <c r="C95" s="10"/>
      <c r="D95" s="13"/>
      <c r="E95" s="14"/>
      <c r="F95" s="112"/>
      <c r="G95" s="112"/>
      <c r="H95" s="114"/>
      <c r="I95" s="114"/>
      <c r="J95" s="7"/>
      <c r="K95" s="7"/>
      <c r="L95" s="5"/>
      <c r="M95" s="5"/>
      <c r="N95" s="9"/>
      <c r="O95" s="6"/>
      <c r="P95" s="6"/>
      <c r="Q95" s="6"/>
      <c r="R95" s="6"/>
      <c r="S95" s="118"/>
      <c r="T95" s="121"/>
      <c r="U95" s="122"/>
      <c r="V95" s="122"/>
      <c r="W95" s="120"/>
      <c r="X95" s="8"/>
    </row>
    <row r="96" spans="1:24" ht="138.75" customHeight="1" x14ac:dyDescent="0.2">
      <c r="A96" s="5">
        <v>61</v>
      </c>
      <c r="B96" s="5"/>
      <c r="C96" s="10"/>
      <c r="D96" s="13"/>
      <c r="E96" s="14"/>
      <c r="F96" s="112"/>
      <c r="G96" s="112"/>
      <c r="H96" s="114"/>
      <c r="I96" s="114"/>
      <c r="J96" s="7"/>
      <c r="K96" s="7"/>
      <c r="L96" s="5"/>
      <c r="M96" s="5"/>
      <c r="N96" s="9"/>
      <c r="O96" s="6"/>
      <c r="P96" s="6"/>
      <c r="Q96" s="6"/>
      <c r="R96" s="6"/>
      <c r="S96" s="118"/>
      <c r="T96" s="121"/>
      <c r="U96" s="122"/>
      <c r="V96" s="122"/>
      <c r="W96" s="120"/>
      <c r="X96" s="8"/>
    </row>
    <row r="97" spans="1:24" x14ac:dyDescent="0.2">
      <c r="A97" s="5">
        <v>62</v>
      </c>
      <c r="B97" s="5"/>
      <c r="C97" s="10"/>
      <c r="D97" s="13"/>
      <c r="E97" s="14"/>
      <c r="F97" s="112"/>
      <c r="G97" s="112"/>
      <c r="H97" s="114"/>
      <c r="I97" s="114"/>
      <c r="J97" s="7"/>
      <c r="K97" s="7"/>
      <c r="L97" s="5"/>
      <c r="M97" s="5"/>
      <c r="N97" s="9"/>
      <c r="O97" s="6"/>
      <c r="P97" s="6"/>
      <c r="Q97" s="6"/>
      <c r="R97" s="6"/>
      <c r="S97" s="118"/>
      <c r="T97" s="121"/>
      <c r="U97" s="122"/>
      <c r="V97" s="122"/>
      <c r="W97" s="120"/>
      <c r="X97" s="8"/>
    </row>
    <row r="98" spans="1:24" x14ac:dyDescent="0.2">
      <c r="A98" s="5">
        <v>63</v>
      </c>
      <c r="B98" s="5"/>
      <c r="C98" s="10"/>
      <c r="D98" s="13"/>
      <c r="E98" s="14"/>
      <c r="F98" s="112"/>
      <c r="G98" s="112"/>
      <c r="H98" s="114"/>
      <c r="I98" s="114"/>
      <c r="J98" s="7"/>
      <c r="K98" s="7"/>
      <c r="L98" s="5"/>
      <c r="M98" s="5"/>
      <c r="N98" s="9"/>
      <c r="O98" s="6"/>
      <c r="P98" s="6"/>
      <c r="Q98" s="6"/>
      <c r="R98" s="6"/>
      <c r="S98" s="118"/>
      <c r="T98" s="121"/>
      <c r="U98" s="122"/>
      <c r="V98" s="122"/>
      <c r="W98" s="120"/>
      <c r="X98" s="8"/>
    </row>
    <row r="99" spans="1:24" x14ac:dyDescent="0.2">
      <c r="A99" s="5">
        <v>64</v>
      </c>
      <c r="B99" s="5"/>
      <c r="C99" s="10"/>
      <c r="D99" s="13"/>
      <c r="E99" s="14"/>
      <c r="F99" s="112"/>
      <c r="G99" s="112"/>
      <c r="H99" s="114"/>
      <c r="I99" s="114"/>
      <c r="J99" s="7"/>
      <c r="K99" s="7"/>
      <c r="L99" s="5"/>
      <c r="M99" s="5"/>
      <c r="N99" s="9"/>
      <c r="O99" s="6"/>
      <c r="P99" s="6"/>
      <c r="Q99" s="6"/>
      <c r="R99" s="6"/>
      <c r="S99" s="118"/>
      <c r="T99" s="121"/>
      <c r="U99" s="122"/>
      <c r="V99" s="122"/>
      <c r="W99" s="120"/>
      <c r="X99" s="8"/>
    </row>
    <row r="100" spans="1:24" x14ac:dyDescent="0.2">
      <c r="A100" s="5">
        <v>65</v>
      </c>
      <c r="B100" s="5"/>
      <c r="C100" s="10"/>
      <c r="D100" s="13"/>
      <c r="E100" s="14"/>
      <c r="F100" s="112"/>
      <c r="G100" s="112"/>
      <c r="H100" s="114"/>
      <c r="I100" s="114"/>
      <c r="J100" s="7"/>
      <c r="K100" s="7"/>
      <c r="L100" s="5"/>
      <c r="M100" s="5"/>
      <c r="N100" s="9"/>
      <c r="O100" s="6"/>
      <c r="P100" s="6"/>
      <c r="Q100" s="6"/>
      <c r="R100" s="6"/>
      <c r="S100" s="118"/>
      <c r="T100" s="121"/>
      <c r="U100" s="122"/>
      <c r="V100" s="122"/>
      <c r="W100" s="120"/>
      <c r="X100" s="8"/>
    </row>
    <row r="101" spans="1:24" x14ac:dyDescent="0.2">
      <c r="A101" s="5">
        <v>66</v>
      </c>
      <c r="B101" s="5"/>
      <c r="C101" s="10"/>
      <c r="D101" s="13"/>
      <c r="E101" s="14"/>
      <c r="F101" s="112"/>
      <c r="G101" s="112"/>
      <c r="H101" s="114"/>
      <c r="I101" s="114"/>
      <c r="J101" s="7"/>
      <c r="K101" s="7"/>
      <c r="L101" s="5"/>
      <c r="M101" s="5"/>
      <c r="N101" s="9"/>
      <c r="O101" s="6"/>
      <c r="P101" s="6"/>
      <c r="Q101" s="6"/>
      <c r="R101" s="6"/>
      <c r="S101" s="118"/>
      <c r="T101" s="121"/>
      <c r="U101" s="122"/>
      <c r="V101" s="122"/>
      <c r="W101" s="120"/>
      <c r="X101" s="8"/>
    </row>
    <row r="102" spans="1:24" ht="63.75" customHeight="1" x14ac:dyDescent="0.2">
      <c r="A102" s="5">
        <v>67</v>
      </c>
      <c r="B102" s="5"/>
      <c r="C102" s="10"/>
      <c r="D102" s="13"/>
      <c r="E102" s="6"/>
      <c r="F102" s="111"/>
      <c r="G102" s="112"/>
      <c r="H102" s="113"/>
      <c r="I102" s="114"/>
      <c r="J102" s="7"/>
      <c r="K102" s="7"/>
      <c r="L102" s="5"/>
      <c r="M102" s="5"/>
      <c r="N102" s="9"/>
      <c r="O102" s="6"/>
      <c r="P102" s="6"/>
      <c r="Q102" s="6"/>
      <c r="R102" s="6"/>
      <c r="S102" s="118"/>
      <c r="T102" s="121"/>
      <c r="U102" s="122"/>
      <c r="V102" s="122"/>
      <c r="W102" s="120"/>
      <c r="X102" s="8"/>
    </row>
    <row r="103" spans="1:24" x14ac:dyDescent="0.2">
      <c r="A103" s="5">
        <v>68</v>
      </c>
      <c r="B103" s="5"/>
      <c r="C103" s="10"/>
      <c r="D103" s="13"/>
      <c r="E103" s="6"/>
      <c r="F103" s="111"/>
      <c r="G103" s="112"/>
      <c r="H103" s="113"/>
      <c r="I103" s="114"/>
      <c r="J103" s="7"/>
      <c r="K103" s="7"/>
      <c r="L103" s="5"/>
      <c r="M103" s="5"/>
      <c r="N103" s="9"/>
      <c r="O103" s="6"/>
      <c r="P103" s="6"/>
      <c r="Q103" s="6"/>
      <c r="R103" s="6"/>
      <c r="S103" s="118"/>
      <c r="T103" s="121"/>
      <c r="U103" s="122"/>
      <c r="V103" s="122"/>
      <c r="W103" s="120"/>
      <c r="X103" s="8"/>
    </row>
    <row r="104" spans="1:24" x14ac:dyDescent="0.2">
      <c r="A104" s="5">
        <v>69</v>
      </c>
      <c r="B104" s="5"/>
      <c r="C104" s="10"/>
      <c r="D104" s="13"/>
      <c r="E104" s="6"/>
      <c r="F104" s="111"/>
      <c r="G104" s="112"/>
      <c r="H104" s="113"/>
      <c r="I104" s="114"/>
      <c r="J104" s="7"/>
      <c r="K104" s="7"/>
      <c r="L104" s="5"/>
      <c r="M104" s="5"/>
      <c r="N104" s="9"/>
      <c r="O104" s="6"/>
      <c r="P104" s="6"/>
      <c r="Q104" s="6"/>
      <c r="R104" s="6"/>
      <c r="S104" s="118"/>
      <c r="T104" s="121"/>
      <c r="U104" s="122"/>
      <c r="V104" s="122"/>
      <c r="W104" s="120"/>
      <c r="X104" s="8"/>
    </row>
    <row r="105" spans="1:24" x14ac:dyDescent="0.2">
      <c r="A105" s="5">
        <v>70</v>
      </c>
      <c r="B105" s="5"/>
      <c r="C105" s="10"/>
      <c r="D105" s="13"/>
      <c r="E105" s="6"/>
      <c r="F105" s="111"/>
      <c r="G105" s="112"/>
      <c r="H105" s="113"/>
      <c r="I105" s="114"/>
      <c r="J105" s="7"/>
      <c r="K105" s="7"/>
      <c r="L105" s="5"/>
      <c r="M105" s="5"/>
      <c r="N105" s="9"/>
      <c r="O105" s="6"/>
      <c r="P105" s="6"/>
      <c r="Q105" s="6"/>
      <c r="R105" s="6"/>
      <c r="S105" s="118"/>
      <c r="T105" s="121"/>
      <c r="U105" s="122"/>
      <c r="V105" s="122"/>
      <c r="W105" s="120"/>
      <c r="X105" s="8"/>
    </row>
    <row r="106" spans="1:24" x14ac:dyDescent="0.2">
      <c r="A106" s="5">
        <v>71</v>
      </c>
      <c r="B106" s="5"/>
      <c r="C106" s="10"/>
      <c r="D106" s="13"/>
      <c r="E106" s="6"/>
      <c r="F106" s="111"/>
      <c r="G106" s="112"/>
      <c r="H106" s="113"/>
      <c r="I106" s="114"/>
      <c r="J106" s="7"/>
      <c r="K106" s="7"/>
      <c r="L106" s="5"/>
      <c r="M106" s="5"/>
      <c r="N106" s="9"/>
      <c r="O106" s="6"/>
      <c r="P106" s="6"/>
      <c r="Q106" s="6"/>
      <c r="R106" s="6"/>
      <c r="S106" s="118"/>
      <c r="T106" s="121"/>
      <c r="U106" s="122"/>
      <c r="V106" s="122"/>
      <c r="W106" s="120"/>
      <c r="X106" s="8"/>
    </row>
    <row r="107" spans="1:24" x14ac:dyDescent="0.2">
      <c r="A107" s="5">
        <v>72</v>
      </c>
      <c r="B107" s="5"/>
      <c r="C107" s="10"/>
      <c r="D107" s="13"/>
      <c r="E107" s="6"/>
      <c r="F107" s="111"/>
      <c r="G107" s="112"/>
      <c r="H107" s="113"/>
      <c r="I107" s="114"/>
      <c r="J107" s="7"/>
      <c r="K107" s="7"/>
      <c r="L107" s="5"/>
      <c r="M107" s="5"/>
      <c r="N107" s="9"/>
      <c r="O107" s="6"/>
      <c r="P107" s="6"/>
      <c r="Q107" s="6"/>
      <c r="R107" s="6"/>
      <c r="S107" s="118"/>
      <c r="T107" s="121"/>
      <c r="U107" s="122"/>
      <c r="V107" s="122"/>
      <c r="W107" s="120"/>
      <c r="X107" s="8"/>
    </row>
    <row r="108" spans="1:24" x14ac:dyDescent="0.2">
      <c r="A108" s="5">
        <v>73</v>
      </c>
      <c r="B108" s="5"/>
      <c r="C108" s="10"/>
      <c r="D108" s="13"/>
      <c r="E108" s="6"/>
      <c r="F108" s="111"/>
      <c r="G108" s="112"/>
      <c r="H108" s="113"/>
      <c r="I108" s="114"/>
      <c r="J108" s="7"/>
      <c r="K108" s="7"/>
      <c r="L108" s="5"/>
      <c r="M108" s="5"/>
      <c r="N108" s="9"/>
      <c r="O108" s="6"/>
      <c r="P108" s="6"/>
      <c r="Q108" s="6"/>
      <c r="R108" s="6"/>
      <c r="S108" s="118"/>
      <c r="T108" s="121"/>
      <c r="U108" s="122"/>
      <c r="V108" s="122"/>
      <c r="W108" s="120"/>
      <c r="X108" s="8"/>
    </row>
    <row r="109" spans="1:24" x14ac:dyDescent="0.2">
      <c r="A109" s="5">
        <v>74</v>
      </c>
      <c r="B109" s="5"/>
      <c r="C109" s="10"/>
      <c r="D109" s="13"/>
      <c r="E109" s="6"/>
      <c r="F109" s="111"/>
      <c r="G109" s="112"/>
      <c r="H109" s="114"/>
      <c r="I109" s="114"/>
      <c r="J109" s="7"/>
      <c r="K109" s="7"/>
      <c r="L109" s="5"/>
      <c r="M109" s="5"/>
      <c r="N109" s="9"/>
      <c r="O109" s="6"/>
      <c r="P109" s="6"/>
      <c r="Q109" s="6"/>
      <c r="R109" s="6"/>
      <c r="S109" s="118"/>
      <c r="T109" s="121"/>
      <c r="U109" s="122"/>
      <c r="V109" s="122"/>
      <c r="W109" s="120"/>
      <c r="X109" s="8"/>
    </row>
    <row r="110" spans="1:24" x14ac:dyDescent="0.2">
      <c r="A110" s="5">
        <v>75</v>
      </c>
      <c r="B110" s="5"/>
      <c r="C110" s="10"/>
      <c r="D110" s="13"/>
      <c r="E110" s="6"/>
      <c r="F110" s="111"/>
      <c r="G110" s="112"/>
      <c r="H110" s="114"/>
      <c r="I110" s="114"/>
      <c r="J110" s="7"/>
      <c r="K110" s="7"/>
      <c r="L110" s="5"/>
      <c r="M110" s="5"/>
      <c r="N110" s="9"/>
      <c r="O110" s="6"/>
      <c r="P110" s="6"/>
      <c r="Q110" s="6"/>
      <c r="R110" s="6"/>
      <c r="S110" s="118"/>
      <c r="T110" s="121"/>
      <c r="U110" s="122"/>
      <c r="V110" s="122"/>
      <c r="W110" s="120"/>
      <c r="X110" s="8"/>
    </row>
    <row r="111" spans="1:24" x14ac:dyDescent="0.2">
      <c r="A111" s="5">
        <v>76</v>
      </c>
      <c r="B111" s="5"/>
      <c r="C111" s="10"/>
      <c r="D111" s="13"/>
      <c r="E111" s="6"/>
      <c r="F111" s="111"/>
      <c r="G111" s="112"/>
      <c r="H111" s="114"/>
      <c r="I111" s="114"/>
      <c r="J111" s="7"/>
      <c r="K111" s="7"/>
      <c r="L111" s="5"/>
      <c r="M111" s="5"/>
      <c r="N111" s="9"/>
      <c r="O111" s="6"/>
      <c r="P111" s="6"/>
      <c r="Q111" s="6"/>
      <c r="R111" s="6"/>
      <c r="S111" s="118"/>
      <c r="T111" s="121"/>
      <c r="U111" s="122"/>
      <c r="V111" s="122"/>
      <c r="W111" s="120"/>
      <c r="X111" s="8"/>
    </row>
    <row r="112" spans="1:24" ht="108.75" customHeight="1" x14ac:dyDescent="0.2">
      <c r="A112" s="5">
        <v>77</v>
      </c>
      <c r="B112" s="5"/>
      <c r="C112" s="10"/>
      <c r="D112" s="13"/>
      <c r="E112" s="14"/>
      <c r="F112" s="112"/>
      <c r="G112" s="112"/>
      <c r="H112" s="114"/>
      <c r="I112" s="114"/>
      <c r="J112" s="7"/>
      <c r="K112" s="7"/>
      <c r="L112" s="5"/>
      <c r="M112" s="5"/>
      <c r="N112" s="9"/>
      <c r="O112" s="6"/>
      <c r="P112" s="6"/>
      <c r="Q112" s="6"/>
      <c r="R112" s="6"/>
      <c r="S112" s="118"/>
      <c r="T112" s="121"/>
      <c r="U112" s="122"/>
      <c r="V112" s="122"/>
      <c r="W112" s="120"/>
      <c r="X112" s="8"/>
    </row>
    <row r="113" spans="1:24" x14ac:dyDescent="0.2">
      <c r="A113" s="5">
        <v>78</v>
      </c>
      <c r="B113" s="5"/>
      <c r="C113" s="10"/>
      <c r="D113" s="13"/>
      <c r="E113" s="14"/>
      <c r="F113" s="112"/>
      <c r="G113" s="112"/>
      <c r="H113" s="114"/>
      <c r="I113" s="114"/>
      <c r="J113" s="7"/>
      <c r="K113" s="7"/>
      <c r="L113" s="5"/>
      <c r="M113" s="5"/>
      <c r="N113" s="9"/>
      <c r="O113" s="6"/>
      <c r="P113" s="6"/>
      <c r="Q113" s="6"/>
      <c r="R113" s="6"/>
      <c r="S113" s="118"/>
      <c r="T113" s="121"/>
      <c r="U113" s="122"/>
      <c r="V113" s="122"/>
      <c r="W113" s="120"/>
      <c r="X113" s="8"/>
    </row>
    <row r="114" spans="1:24" x14ac:dyDescent="0.2">
      <c r="A114" s="5">
        <v>79</v>
      </c>
      <c r="B114" s="5"/>
      <c r="C114" s="10"/>
      <c r="D114" s="13"/>
      <c r="E114" s="14"/>
      <c r="F114" s="112"/>
      <c r="G114" s="112"/>
      <c r="H114" s="114"/>
      <c r="I114" s="114"/>
      <c r="J114" s="7"/>
      <c r="K114" s="7"/>
      <c r="L114" s="5"/>
      <c r="M114" s="5"/>
      <c r="N114" s="9"/>
      <c r="O114" s="6"/>
      <c r="P114" s="6"/>
      <c r="Q114" s="6"/>
      <c r="R114" s="6"/>
      <c r="S114" s="118"/>
      <c r="T114" s="121"/>
      <c r="U114" s="122"/>
      <c r="V114" s="122"/>
      <c r="W114" s="120"/>
      <c r="X114" s="8"/>
    </row>
    <row r="115" spans="1:24" x14ac:dyDescent="0.2">
      <c r="A115" s="5">
        <v>80</v>
      </c>
      <c r="B115" s="5"/>
      <c r="C115" s="10"/>
      <c r="D115" s="13"/>
      <c r="E115" s="14"/>
      <c r="F115" s="112"/>
      <c r="G115" s="112"/>
      <c r="H115" s="114"/>
      <c r="I115" s="114"/>
      <c r="J115" s="7"/>
      <c r="K115" s="7"/>
      <c r="L115" s="5"/>
      <c r="M115" s="5"/>
      <c r="N115" s="9"/>
      <c r="O115" s="6"/>
      <c r="P115" s="6"/>
      <c r="Q115" s="6"/>
      <c r="R115" s="6"/>
      <c r="S115" s="118"/>
      <c r="T115" s="121"/>
      <c r="U115" s="122"/>
      <c r="V115" s="122"/>
      <c r="W115" s="120"/>
      <c r="X115" s="8"/>
    </row>
    <row r="116" spans="1:24" x14ac:dyDescent="0.2">
      <c r="A116" s="5">
        <v>81</v>
      </c>
      <c r="B116" s="5"/>
      <c r="C116" s="10"/>
      <c r="D116" s="13"/>
      <c r="E116" s="14"/>
      <c r="F116" s="112"/>
      <c r="G116" s="112"/>
      <c r="H116" s="114"/>
      <c r="I116" s="114"/>
      <c r="J116" s="7"/>
      <c r="K116" s="7"/>
      <c r="L116" s="5"/>
      <c r="M116" s="5"/>
      <c r="N116" s="9"/>
      <c r="O116" s="6"/>
      <c r="P116" s="6"/>
      <c r="Q116" s="6"/>
      <c r="R116" s="6"/>
      <c r="S116" s="118"/>
      <c r="T116" s="121"/>
      <c r="U116" s="122"/>
      <c r="V116" s="122"/>
      <c r="W116" s="120"/>
      <c r="X116" s="8"/>
    </row>
    <row r="117" spans="1:24" x14ac:dyDescent="0.2">
      <c r="A117" s="5">
        <v>82</v>
      </c>
      <c r="B117" s="5"/>
      <c r="C117" s="10"/>
      <c r="D117" s="13"/>
      <c r="E117" s="14"/>
      <c r="F117" s="112"/>
      <c r="G117" s="112"/>
      <c r="H117" s="114"/>
      <c r="I117" s="114"/>
      <c r="J117" s="7"/>
      <c r="K117" s="7"/>
      <c r="L117" s="5"/>
      <c r="M117" s="5"/>
      <c r="N117" s="9"/>
      <c r="O117" s="6"/>
      <c r="P117" s="6"/>
      <c r="Q117" s="6"/>
      <c r="R117" s="6"/>
      <c r="S117" s="118"/>
      <c r="T117" s="121"/>
      <c r="U117" s="122"/>
      <c r="V117" s="122"/>
      <c r="W117" s="120"/>
      <c r="X117" s="8"/>
    </row>
  </sheetData>
  <autoFilter ref="A35:X117" xr:uid="{00000000-0009-0000-0000-000000000000}"/>
  <conditionalFormatting sqref="S36 S40 S45 S47 S55 S70:S71 S75:S77 S84:S91 S96 S102 S112:S117 S109">
    <cfRule type="cellIs" dxfId="303" priority="874" operator="greaterThan">
      <formula>5</formula>
    </cfRule>
    <cfRule type="cellIs" dxfId="302" priority="875" operator="lessThan">
      <formula>0</formula>
    </cfRule>
  </conditionalFormatting>
  <conditionalFormatting sqref="S36 S40 S45 S47 S55 S70:S71 S75:S77 S84:S91 S96 S102 S112:S117 S109">
    <cfRule type="containsText" dxfId="301" priority="873" operator="containsText" text="En Revisión">
      <formula>NOT(ISERROR(SEARCH("En Revisión",S36)))</formula>
    </cfRule>
  </conditionalFormatting>
  <conditionalFormatting sqref="S36 S40 S45 S47 S55 S70:S71 S75:S77 S84:S91 S96 S102 S112:S117 S109">
    <cfRule type="containsText" dxfId="300" priority="871" operator="containsText" text="Entregado">
      <formula>NOT(ISERROR(SEARCH("Entregado",S36)))</formula>
    </cfRule>
    <cfRule type="containsText" dxfId="299" priority="872" operator="containsText" text="En Revisión">
      <formula>NOT(ISERROR(SEARCH("En Revisión",S36)))</formula>
    </cfRule>
  </conditionalFormatting>
  <conditionalFormatting sqref="S36 S40 S45 S47 S55 S70:S71 S75:S77 S84:S91 S96 S102 S112:S117 S109">
    <cfRule type="cellIs" dxfId="298" priority="870" operator="between">
      <formula>0</formula>
      <formula>5</formula>
    </cfRule>
  </conditionalFormatting>
  <conditionalFormatting sqref="S36 S40 S45 S47 S55 S70:S71 S75:S77 S84 S96 S102 S112 S109">
    <cfRule type="containsText" dxfId="297" priority="869" operator="containsText" text="En Revisión">
      <formula>NOT(ISERROR(SEARCH("En Revisión",S36)))</formula>
    </cfRule>
  </conditionalFormatting>
  <conditionalFormatting sqref="S36 S40 S45 S47 S55 S70:S71 S75:S77 S84:S91 S96 S102 S112:S117 S109">
    <cfRule type="containsText" dxfId="296" priority="868" operator="containsText" text="Fuera de Plazo">
      <formula>NOT(ISERROR(SEARCH("Fuera de Plazo",S36)))</formula>
    </cfRule>
  </conditionalFormatting>
  <conditionalFormatting sqref="S36 S40 S45 S47 S55 S70:S71 S75:S77 S84:S91 S96 S102 S112:S117 S109">
    <cfRule type="containsText" dxfId="295" priority="867" operator="containsText" text="Entregado">
      <formula>NOT(ISERROR(SEARCH("Entregado",S36)))</formula>
    </cfRule>
  </conditionalFormatting>
  <conditionalFormatting sqref="U35:V35">
    <cfRule type="colorScale" priority="864">
      <colorScale>
        <cfvo type="min"/>
        <cfvo type="percentile" val="50"/>
        <cfvo type="max"/>
        <color rgb="FF5A8AC6"/>
        <color rgb="FFFCFCFF"/>
        <color rgb="FFF8696B"/>
      </colorScale>
    </cfRule>
    <cfRule type="dataBar" priority="8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{0941C7F9-03B9-4D9A-BBBC-B7AA15878382}</x14:id>
        </ext>
      </extLst>
    </cfRule>
  </conditionalFormatting>
  <conditionalFormatting sqref="U102:V102 U112:V112 U70:V71 U96:V96 U36:V36 U40:V40 U45:V45 U47:V47 U55:V55 U75:V77 U84:V84 U109:V109">
    <cfRule type="dataBar" priority="8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{CE1B909A-BC3E-44B1-A32B-7D5C58D21A11}</x14:id>
        </ext>
      </extLst>
    </cfRule>
  </conditionalFormatting>
  <conditionalFormatting sqref="X102 X112 X70:X71 X96 X35:X36 X40 X45 X47 X55 X75:X77 X84 X109">
    <cfRule type="dataBar" priority="88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{F2D54709-6738-47E8-B957-3B1C6A85FC69}</x14:id>
        </ext>
      </extLst>
    </cfRule>
  </conditionalFormatting>
  <conditionalFormatting sqref="W102 W112 W70:W71 W96 W35:W36 W40 W45 W47 W55 W75:W77 W84 W109">
    <cfRule type="dataBar" priority="8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{E923BBE9-3F60-4AAE-9A02-E241BBA75506}</x14:id>
        </ext>
      </extLst>
    </cfRule>
  </conditionalFormatting>
  <conditionalFormatting sqref="T112 T102 T70:T71 T96 T36 T47 T55 T75:T77 T84 T109">
    <cfRule type="dataBar" priority="8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{66EC48EE-F11B-4B71-94FB-FD8F63540924}</x14:id>
        </ext>
      </extLst>
    </cfRule>
  </conditionalFormatting>
  <conditionalFormatting sqref="K102 K112 K70:K71 K96 K36 K47 K55 K75:K77 K84 K109">
    <cfRule type="dataBar" priority="88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{DE4C7072-DC34-4925-9332-226BA69674FC}</x14:id>
        </ext>
      </extLst>
    </cfRule>
  </conditionalFormatting>
  <conditionalFormatting sqref="J102 J112 J70:J71 J96 J36 J47 J55 J75:J77 J84 J109">
    <cfRule type="dataBar" priority="8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{5FB9C4AF-C0E3-42C2-9551-0E69A65B84A6}</x14:id>
        </ext>
      </extLst>
    </cfRule>
  </conditionalFormatting>
  <conditionalFormatting sqref="S37">
    <cfRule type="cellIs" dxfId="294" priority="830" operator="greaterThan">
      <formula>5</formula>
    </cfRule>
    <cfRule type="cellIs" dxfId="293" priority="831" operator="lessThan">
      <formula>0</formula>
    </cfRule>
  </conditionalFormatting>
  <conditionalFormatting sqref="S37">
    <cfRule type="containsText" dxfId="292" priority="829" operator="containsText" text="En Revisión">
      <formula>NOT(ISERROR(SEARCH("En Revisión",S37)))</formula>
    </cfRule>
  </conditionalFormatting>
  <conditionalFormatting sqref="S37">
    <cfRule type="containsText" dxfId="291" priority="827" operator="containsText" text="Entregado">
      <formula>NOT(ISERROR(SEARCH("Entregado",S37)))</formula>
    </cfRule>
    <cfRule type="containsText" dxfId="290" priority="828" operator="containsText" text="En Revisión">
      <formula>NOT(ISERROR(SEARCH("En Revisión",S37)))</formula>
    </cfRule>
  </conditionalFormatting>
  <conditionalFormatting sqref="S37">
    <cfRule type="cellIs" dxfId="289" priority="826" operator="between">
      <formula>0</formula>
      <formula>5</formula>
    </cfRule>
  </conditionalFormatting>
  <conditionalFormatting sqref="S37">
    <cfRule type="containsText" dxfId="288" priority="825" operator="containsText" text="En Revisión">
      <formula>NOT(ISERROR(SEARCH("En Revisión",S37)))</formula>
    </cfRule>
  </conditionalFormatting>
  <conditionalFormatting sqref="S37">
    <cfRule type="containsText" dxfId="287" priority="824" operator="containsText" text="Fuera de Plazo">
      <formula>NOT(ISERROR(SEARCH("Fuera de Plazo",S37)))</formula>
    </cfRule>
  </conditionalFormatting>
  <conditionalFormatting sqref="S37">
    <cfRule type="containsText" dxfId="286" priority="823" operator="containsText" text="Entregado">
      <formula>NOT(ISERROR(SEARCH("Entregado",S37)))</formula>
    </cfRule>
  </conditionalFormatting>
  <conditionalFormatting sqref="U37:V37">
    <cfRule type="dataBar" priority="8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{AC7B11C4-B502-4CEF-B926-632306BCEE74}</x14:id>
        </ext>
      </extLst>
    </cfRule>
  </conditionalFormatting>
  <conditionalFormatting sqref="X37">
    <cfRule type="dataBar" priority="83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{12A4D2AD-22E4-4A83-A0C5-182CD93CD9BC}</x14:id>
        </ext>
      </extLst>
    </cfRule>
  </conditionalFormatting>
  <conditionalFormatting sqref="W37">
    <cfRule type="dataBar" priority="8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{7679D3AF-A01F-4A6A-A852-2402DE102C89}</x14:id>
        </ext>
      </extLst>
    </cfRule>
  </conditionalFormatting>
  <conditionalFormatting sqref="T37">
    <cfRule type="dataBar" priority="8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{66D81B10-1F1F-4EBD-B939-EFCD5A6F43A5}</x14:id>
        </ext>
      </extLst>
    </cfRule>
  </conditionalFormatting>
  <conditionalFormatting sqref="K37">
    <cfRule type="dataBar" priority="83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{A85BF103-2502-404A-8BFE-EF6CF73CD7BC}</x14:id>
        </ext>
      </extLst>
    </cfRule>
  </conditionalFormatting>
  <conditionalFormatting sqref="J37">
    <cfRule type="dataBar" priority="8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{559350E1-89F3-4447-8DFC-556B2B43362B}</x14:id>
        </ext>
      </extLst>
    </cfRule>
  </conditionalFormatting>
  <conditionalFormatting sqref="S38">
    <cfRule type="cellIs" dxfId="285" priority="814" operator="greaterThan">
      <formula>5</formula>
    </cfRule>
    <cfRule type="cellIs" dxfId="284" priority="815" operator="lessThan">
      <formula>0</formula>
    </cfRule>
  </conditionalFormatting>
  <conditionalFormatting sqref="S38">
    <cfRule type="containsText" dxfId="283" priority="813" operator="containsText" text="En Revisión">
      <formula>NOT(ISERROR(SEARCH("En Revisión",S38)))</formula>
    </cfRule>
  </conditionalFormatting>
  <conditionalFormatting sqref="S38">
    <cfRule type="containsText" dxfId="282" priority="811" operator="containsText" text="Entregado">
      <formula>NOT(ISERROR(SEARCH("Entregado",S38)))</formula>
    </cfRule>
    <cfRule type="containsText" dxfId="281" priority="812" operator="containsText" text="En Revisión">
      <formula>NOT(ISERROR(SEARCH("En Revisión",S38)))</formula>
    </cfRule>
  </conditionalFormatting>
  <conditionalFormatting sqref="S38">
    <cfRule type="cellIs" dxfId="280" priority="810" operator="between">
      <formula>0</formula>
      <formula>5</formula>
    </cfRule>
  </conditionalFormatting>
  <conditionalFormatting sqref="S38">
    <cfRule type="containsText" dxfId="279" priority="809" operator="containsText" text="En Revisión">
      <formula>NOT(ISERROR(SEARCH("En Revisión",S38)))</formula>
    </cfRule>
  </conditionalFormatting>
  <conditionalFormatting sqref="S38">
    <cfRule type="containsText" dxfId="278" priority="808" operator="containsText" text="Fuera de Plazo">
      <formula>NOT(ISERROR(SEARCH("Fuera de Plazo",S38)))</formula>
    </cfRule>
  </conditionalFormatting>
  <conditionalFormatting sqref="S38">
    <cfRule type="containsText" dxfId="277" priority="807" operator="containsText" text="Entregado">
      <formula>NOT(ISERROR(SEARCH("Entregado",S38)))</formula>
    </cfRule>
  </conditionalFormatting>
  <conditionalFormatting sqref="U38:V38">
    <cfRule type="dataBar" priority="8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{FC5CD728-6599-4AB5-88E2-6CB465422785}</x14:id>
        </ext>
      </extLst>
    </cfRule>
  </conditionalFormatting>
  <conditionalFormatting sqref="X38">
    <cfRule type="dataBar" priority="81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{200E4398-BAC4-41FA-B071-71171622CFBE}</x14:id>
        </ext>
      </extLst>
    </cfRule>
  </conditionalFormatting>
  <conditionalFormatting sqref="W38">
    <cfRule type="dataBar" priority="8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{0D793EA4-82EA-4D9E-A020-2D0C95B628C2}</x14:id>
        </ext>
      </extLst>
    </cfRule>
  </conditionalFormatting>
  <conditionalFormatting sqref="T38">
    <cfRule type="dataBar" priority="8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{65F8AB1E-9706-4C61-9BE9-F607D66A4A81}</x14:id>
        </ext>
      </extLst>
    </cfRule>
  </conditionalFormatting>
  <conditionalFormatting sqref="K38">
    <cfRule type="dataBar" priority="82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{065A6AA9-55D4-46C7-9F53-1D790B9575B8}</x14:id>
        </ext>
      </extLst>
    </cfRule>
  </conditionalFormatting>
  <conditionalFormatting sqref="J38">
    <cfRule type="dataBar" priority="8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{5C54777F-5B72-4342-AF81-F5A82BEA0698}</x14:id>
        </ext>
      </extLst>
    </cfRule>
  </conditionalFormatting>
  <conditionalFormatting sqref="O40:R40">
    <cfRule type="dataBar" priority="8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{B4A70ED9-918A-4094-877A-01B2839F778E}</x14:id>
        </ext>
      </extLst>
    </cfRule>
  </conditionalFormatting>
  <conditionalFormatting sqref="O42:R42">
    <cfRule type="dataBar" priority="8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{219926B9-8D00-466D-9E00-1704AED29090}</x14:id>
        </ext>
      </extLst>
    </cfRule>
  </conditionalFormatting>
  <conditionalFormatting sqref="O43:R43">
    <cfRule type="dataBar" priority="8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{DD6A0321-89B8-4BCA-9DC7-E8CB982FCA5C}</x14:id>
        </ext>
      </extLst>
    </cfRule>
  </conditionalFormatting>
  <conditionalFormatting sqref="H40:I40">
    <cfRule type="dataBar" priority="8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{37C9BC81-6199-48DB-841A-487AF281080B}</x14:id>
        </ext>
      </extLst>
    </cfRule>
  </conditionalFormatting>
  <conditionalFormatting sqref="H42:I42">
    <cfRule type="dataBar" priority="7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{82A11817-F8A2-40D2-A544-ECAF4E5A87EA}</x14:id>
        </ext>
      </extLst>
    </cfRule>
  </conditionalFormatting>
  <conditionalFormatting sqref="H43:I43">
    <cfRule type="dataBar" priority="7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{9FD6AF84-5530-46F8-A543-BB220140D39F}</x14:id>
        </ext>
      </extLst>
    </cfRule>
  </conditionalFormatting>
  <conditionalFormatting sqref="J40:K40 T40">
    <cfRule type="dataBar" priority="7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{1514071F-1AC4-424F-9710-4D68610F06FB}</x14:id>
        </ext>
      </extLst>
    </cfRule>
  </conditionalFormatting>
  <conditionalFormatting sqref="T40">
    <cfRule type="dataBar" priority="7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{066327A9-BC56-4A49-98C6-2DB7519DEBFC}</x14:id>
        </ext>
      </extLst>
    </cfRule>
  </conditionalFormatting>
  <conditionalFormatting sqref="K40">
    <cfRule type="dataBar" priority="79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{C2A4A706-4AE3-4BF3-9CDC-76088154CECA}</x14:id>
        </ext>
      </extLst>
    </cfRule>
  </conditionalFormatting>
  <conditionalFormatting sqref="J40">
    <cfRule type="dataBar" priority="7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{29173DF6-1424-4870-88AA-4D514B0834BE}</x14:id>
        </ext>
      </extLst>
    </cfRule>
  </conditionalFormatting>
  <conditionalFormatting sqref="J42:K42 T42">
    <cfRule type="dataBar" priority="7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{494ECFEE-285D-410A-B73F-9672DB1A2487}</x14:id>
        </ext>
      </extLst>
    </cfRule>
  </conditionalFormatting>
  <conditionalFormatting sqref="T42">
    <cfRule type="dataBar" priority="7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{6905ED09-0845-4CF5-A96B-3431679D18C0}</x14:id>
        </ext>
      </extLst>
    </cfRule>
  </conditionalFormatting>
  <conditionalFormatting sqref="K42">
    <cfRule type="dataBar" priority="79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{6F582D73-DC1F-4C29-9358-A754BE2ED029}</x14:id>
        </ext>
      </extLst>
    </cfRule>
  </conditionalFormatting>
  <conditionalFormatting sqref="J42">
    <cfRule type="dataBar" priority="7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{244FB1E1-5E94-4E9F-8915-22A59B58D50C}</x14:id>
        </ext>
      </extLst>
    </cfRule>
  </conditionalFormatting>
  <conditionalFormatting sqref="J43:K43 T43">
    <cfRule type="dataBar" priority="7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{3A5F00A8-DF9C-4699-A9A3-7EDC83C7AA5F}</x14:id>
        </ext>
      </extLst>
    </cfRule>
  </conditionalFormatting>
  <conditionalFormatting sqref="T43">
    <cfRule type="dataBar" priority="7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{66FC620F-645E-438F-B569-E7A7115E41D1}</x14:id>
        </ext>
      </extLst>
    </cfRule>
  </conditionalFormatting>
  <conditionalFormatting sqref="K43">
    <cfRule type="dataBar" priority="78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{41B9601F-D1A0-453A-BAC4-8B14673EE20A}</x14:id>
        </ext>
      </extLst>
    </cfRule>
  </conditionalFormatting>
  <conditionalFormatting sqref="J43">
    <cfRule type="dataBar" priority="7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{B9CF1AF4-C820-48A7-A77A-8A6BF3C1631E}</x14:id>
        </ext>
      </extLst>
    </cfRule>
  </conditionalFormatting>
  <conditionalFormatting sqref="S42">
    <cfRule type="cellIs" dxfId="276" priority="780" operator="greaterThan">
      <formula>5</formula>
    </cfRule>
    <cfRule type="cellIs" dxfId="275" priority="781" operator="lessThan">
      <formula>0</formula>
    </cfRule>
  </conditionalFormatting>
  <conditionalFormatting sqref="S42">
    <cfRule type="containsText" dxfId="274" priority="779" operator="containsText" text="En Revisión">
      <formula>NOT(ISERROR(SEARCH("En Revisión",S42)))</formula>
    </cfRule>
  </conditionalFormatting>
  <conditionalFormatting sqref="S42">
    <cfRule type="containsText" dxfId="273" priority="777" operator="containsText" text="Entregado">
      <formula>NOT(ISERROR(SEARCH("Entregado",S42)))</formula>
    </cfRule>
    <cfRule type="containsText" dxfId="272" priority="778" operator="containsText" text="En Revisión">
      <formula>NOT(ISERROR(SEARCH("En Revisión",S42)))</formula>
    </cfRule>
  </conditionalFormatting>
  <conditionalFormatting sqref="S42">
    <cfRule type="cellIs" dxfId="271" priority="776" operator="between">
      <formula>0</formula>
      <formula>5</formula>
    </cfRule>
  </conditionalFormatting>
  <conditionalFormatting sqref="S42">
    <cfRule type="containsText" dxfId="270" priority="775" operator="containsText" text="En Revisión">
      <formula>NOT(ISERROR(SEARCH("En Revisión",S42)))</formula>
    </cfRule>
  </conditionalFormatting>
  <conditionalFormatting sqref="S42">
    <cfRule type="containsText" dxfId="269" priority="774" operator="containsText" text="Fuera de Plazo">
      <formula>NOT(ISERROR(SEARCH("Fuera de Plazo",S42)))</formula>
    </cfRule>
  </conditionalFormatting>
  <conditionalFormatting sqref="S42">
    <cfRule type="containsText" dxfId="268" priority="773" operator="containsText" text="Entregado">
      <formula>NOT(ISERROR(SEARCH("Entregado",S42)))</formula>
    </cfRule>
  </conditionalFormatting>
  <conditionalFormatting sqref="U42:V42">
    <cfRule type="dataBar" priority="7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{45D4883F-E5A4-48F1-9A0D-E0C7301454B7}</x14:id>
        </ext>
      </extLst>
    </cfRule>
  </conditionalFormatting>
  <conditionalFormatting sqref="X42">
    <cfRule type="dataBar" priority="78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{C6472A7D-6595-4BB1-945A-1D24D8CBF16C}</x14:id>
        </ext>
      </extLst>
    </cfRule>
  </conditionalFormatting>
  <conditionalFormatting sqref="W42">
    <cfRule type="dataBar" priority="7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{D7A8746A-E5B4-4143-95E5-BCE25E550785}</x14:id>
        </ext>
      </extLst>
    </cfRule>
  </conditionalFormatting>
  <conditionalFormatting sqref="S43">
    <cfRule type="cellIs" dxfId="267" priority="767" operator="greaterThan">
      <formula>5</formula>
    </cfRule>
    <cfRule type="cellIs" dxfId="266" priority="768" operator="lessThan">
      <formula>0</formula>
    </cfRule>
  </conditionalFormatting>
  <conditionalFormatting sqref="S43">
    <cfRule type="containsText" dxfId="265" priority="766" operator="containsText" text="En Revisión">
      <formula>NOT(ISERROR(SEARCH("En Revisión",S43)))</formula>
    </cfRule>
  </conditionalFormatting>
  <conditionalFormatting sqref="S43">
    <cfRule type="containsText" dxfId="264" priority="764" operator="containsText" text="Entregado">
      <formula>NOT(ISERROR(SEARCH("Entregado",S43)))</formula>
    </cfRule>
    <cfRule type="containsText" dxfId="263" priority="765" operator="containsText" text="En Revisión">
      <formula>NOT(ISERROR(SEARCH("En Revisión",S43)))</formula>
    </cfRule>
  </conditionalFormatting>
  <conditionalFormatting sqref="S43">
    <cfRule type="cellIs" dxfId="262" priority="763" operator="between">
      <formula>0</formula>
      <formula>5</formula>
    </cfRule>
  </conditionalFormatting>
  <conditionalFormatting sqref="S43">
    <cfRule type="containsText" dxfId="261" priority="762" operator="containsText" text="En Revisión">
      <formula>NOT(ISERROR(SEARCH("En Revisión",S43)))</formula>
    </cfRule>
  </conditionalFormatting>
  <conditionalFormatting sqref="S43">
    <cfRule type="containsText" dxfId="260" priority="761" operator="containsText" text="Fuera de Plazo">
      <formula>NOT(ISERROR(SEARCH("Fuera de Plazo",S43)))</formula>
    </cfRule>
  </conditionalFormatting>
  <conditionalFormatting sqref="S43">
    <cfRule type="containsText" dxfId="259" priority="760" operator="containsText" text="Entregado">
      <formula>NOT(ISERROR(SEARCH("Entregado",S43)))</formula>
    </cfRule>
  </conditionalFormatting>
  <conditionalFormatting sqref="U43:V43">
    <cfRule type="dataBar" priority="7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{B82E8C22-43FD-49CE-B223-3E0363758E06}</x14:id>
        </ext>
      </extLst>
    </cfRule>
  </conditionalFormatting>
  <conditionalFormatting sqref="X43">
    <cfRule type="dataBar" priority="77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{F7E61067-39D0-404B-ACD1-F6BA5482A51E}</x14:id>
        </ext>
      </extLst>
    </cfRule>
  </conditionalFormatting>
  <conditionalFormatting sqref="W43">
    <cfRule type="dataBar" priority="7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{519DEA96-84E4-406F-9014-610CCCD0E621}</x14:id>
        </ext>
      </extLst>
    </cfRule>
  </conditionalFormatting>
  <conditionalFormatting sqref="J45:K45">
    <cfRule type="dataBar" priority="7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{84552A4A-0AF8-4F3E-A953-756E5DF39685}</x14:id>
        </ext>
      </extLst>
    </cfRule>
  </conditionalFormatting>
  <conditionalFormatting sqref="K45">
    <cfRule type="dataBar" priority="75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{79AAC13E-9531-47FE-B70B-84A45594C124}</x14:id>
        </ext>
      </extLst>
    </cfRule>
  </conditionalFormatting>
  <conditionalFormatting sqref="J45">
    <cfRule type="dataBar" priority="7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{EF9C0048-690C-4DA1-BB3D-B40B0B72444C}</x14:id>
        </ext>
      </extLst>
    </cfRule>
  </conditionalFormatting>
  <conditionalFormatting sqref="T45">
    <cfRule type="dataBar" priority="7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{FD460AF3-20E2-44F0-9B50-7BA13CC1FBA5}</x14:id>
        </ext>
      </extLst>
    </cfRule>
  </conditionalFormatting>
  <conditionalFormatting sqref="T45">
    <cfRule type="dataBar" priority="7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{1394A357-26B2-453B-B099-BD505E453DDC}</x14:id>
        </ext>
      </extLst>
    </cfRule>
  </conditionalFormatting>
  <conditionalFormatting sqref="O45:R45">
    <cfRule type="dataBar" priority="7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{27101268-B9ED-4F4F-8729-8E1D391747D0}</x14:id>
        </ext>
      </extLst>
    </cfRule>
  </conditionalFormatting>
  <conditionalFormatting sqref="S46">
    <cfRule type="cellIs" dxfId="258" priority="748" operator="greaterThan">
      <formula>5</formula>
    </cfRule>
    <cfRule type="cellIs" dxfId="257" priority="749" operator="lessThan">
      <formula>0</formula>
    </cfRule>
  </conditionalFormatting>
  <conditionalFormatting sqref="S46">
    <cfRule type="containsText" dxfId="256" priority="747" operator="containsText" text="En Revisión">
      <formula>NOT(ISERROR(SEARCH("En Revisión",S46)))</formula>
    </cfRule>
  </conditionalFormatting>
  <conditionalFormatting sqref="S46">
    <cfRule type="containsText" dxfId="255" priority="745" operator="containsText" text="Entregado">
      <formula>NOT(ISERROR(SEARCH("Entregado",S46)))</formula>
    </cfRule>
    <cfRule type="containsText" dxfId="254" priority="746" operator="containsText" text="En Revisión">
      <formula>NOT(ISERROR(SEARCH("En Revisión",S46)))</formula>
    </cfRule>
  </conditionalFormatting>
  <conditionalFormatting sqref="S46">
    <cfRule type="cellIs" dxfId="253" priority="744" operator="between">
      <formula>0</formula>
      <formula>5</formula>
    </cfRule>
  </conditionalFormatting>
  <conditionalFormatting sqref="S46">
    <cfRule type="containsText" dxfId="252" priority="743" operator="containsText" text="En Revisión">
      <formula>NOT(ISERROR(SEARCH("En Revisión",S46)))</formula>
    </cfRule>
  </conditionalFormatting>
  <conditionalFormatting sqref="S46">
    <cfRule type="containsText" dxfId="251" priority="742" operator="containsText" text="Fuera de Plazo">
      <formula>NOT(ISERROR(SEARCH("Fuera de Plazo",S46)))</formula>
    </cfRule>
  </conditionalFormatting>
  <conditionalFormatting sqref="S46">
    <cfRule type="containsText" dxfId="250" priority="741" operator="containsText" text="Entregado">
      <formula>NOT(ISERROR(SEARCH("Entregado",S46)))</formula>
    </cfRule>
  </conditionalFormatting>
  <conditionalFormatting sqref="U46:V46">
    <cfRule type="dataBar" priority="7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{4D089115-2FB2-4906-92C6-C4901553147C}</x14:id>
        </ext>
      </extLst>
    </cfRule>
  </conditionalFormatting>
  <conditionalFormatting sqref="X46">
    <cfRule type="dataBar" priority="75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{0683A170-7E49-47A7-8427-BA39035BC445}</x14:id>
        </ext>
      </extLst>
    </cfRule>
  </conditionalFormatting>
  <conditionalFormatting sqref="W46">
    <cfRule type="dataBar" priority="7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{81D04213-40E8-400D-9150-FF5A313541FA}</x14:id>
        </ext>
      </extLst>
    </cfRule>
  </conditionalFormatting>
  <conditionalFormatting sqref="J46:K46">
    <cfRule type="dataBar" priority="7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{1557BD88-121C-44C4-AF85-846C7F55F650}</x14:id>
        </ext>
      </extLst>
    </cfRule>
  </conditionalFormatting>
  <conditionalFormatting sqref="K46">
    <cfRule type="dataBar" priority="73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{AD977D5D-7BB7-4F7D-B6CF-527B9C4C3FC5}</x14:id>
        </ext>
      </extLst>
    </cfRule>
  </conditionalFormatting>
  <conditionalFormatting sqref="J46">
    <cfRule type="dataBar" priority="7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{2B2EFE13-454E-4E56-8571-709380E63CDB}</x14:id>
        </ext>
      </extLst>
    </cfRule>
  </conditionalFormatting>
  <conditionalFormatting sqref="T46">
    <cfRule type="dataBar" priority="7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{CB5F7681-578A-4B10-8B3D-07717F3A4357}</x14:id>
        </ext>
      </extLst>
    </cfRule>
  </conditionalFormatting>
  <conditionalFormatting sqref="T46">
    <cfRule type="dataBar" priority="7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{A5246FA8-D2DB-499C-932E-3A221E92F6C4}</x14:id>
        </ext>
      </extLst>
    </cfRule>
  </conditionalFormatting>
  <conditionalFormatting sqref="O46:R46">
    <cfRule type="dataBar" priority="7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{118FC945-B6BC-4137-94C8-B196BDF12378}</x14:id>
        </ext>
      </extLst>
    </cfRule>
  </conditionalFormatting>
  <conditionalFormatting sqref="S41">
    <cfRule type="cellIs" dxfId="249" priority="729" operator="greaterThan">
      <formula>5</formula>
    </cfRule>
    <cfRule type="cellIs" dxfId="248" priority="730" operator="lessThan">
      <formula>0</formula>
    </cfRule>
  </conditionalFormatting>
  <conditionalFormatting sqref="S41">
    <cfRule type="containsText" dxfId="247" priority="728" operator="containsText" text="En Revisión">
      <formula>NOT(ISERROR(SEARCH("En Revisión",S41)))</formula>
    </cfRule>
  </conditionalFormatting>
  <conditionalFormatting sqref="S41">
    <cfRule type="containsText" dxfId="246" priority="726" operator="containsText" text="Entregado">
      <formula>NOT(ISERROR(SEARCH("Entregado",S41)))</formula>
    </cfRule>
    <cfRule type="containsText" dxfId="245" priority="727" operator="containsText" text="En Revisión">
      <formula>NOT(ISERROR(SEARCH("En Revisión",S41)))</formula>
    </cfRule>
  </conditionalFormatting>
  <conditionalFormatting sqref="S41">
    <cfRule type="cellIs" dxfId="244" priority="725" operator="between">
      <formula>0</formula>
      <formula>5</formula>
    </cfRule>
  </conditionalFormatting>
  <conditionalFormatting sqref="S41">
    <cfRule type="containsText" dxfId="243" priority="724" operator="containsText" text="En Revisión">
      <formula>NOT(ISERROR(SEARCH("En Revisión",S41)))</formula>
    </cfRule>
  </conditionalFormatting>
  <conditionalFormatting sqref="S41">
    <cfRule type="containsText" dxfId="242" priority="723" operator="containsText" text="Fuera de Plazo">
      <formula>NOT(ISERROR(SEARCH("Fuera de Plazo",S41)))</formula>
    </cfRule>
  </conditionalFormatting>
  <conditionalFormatting sqref="S41">
    <cfRule type="containsText" dxfId="241" priority="722" operator="containsText" text="Entregado">
      <formula>NOT(ISERROR(SEARCH("Entregado",S41)))</formula>
    </cfRule>
  </conditionalFormatting>
  <conditionalFormatting sqref="U41:V41">
    <cfRule type="dataBar" priority="7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{719D6703-233A-46FD-BF6B-35B9622B1E79}</x14:id>
        </ext>
      </extLst>
    </cfRule>
  </conditionalFormatting>
  <conditionalFormatting sqref="X41">
    <cfRule type="dataBar" priority="73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{B321BA9C-C761-4E21-868C-B12C873830AE}</x14:id>
        </ext>
      </extLst>
    </cfRule>
  </conditionalFormatting>
  <conditionalFormatting sqref="W41">
    <cfRule type="dataBar" priority="7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{8ACED8BB-F1C1-45C3-BCEC-760F326F153E}</x14:id>
        </ext>
      </extLst>
    </cfRule>
  </conditionalFormatting>
  <conditionalFormatting sqref="O41:R41">
    <cfRule type="dataBar" priority="7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{6BCFA4C5-E328-4B83-917C-D1E434BB6A63}</x14:id>
        </ext>
      </extLst>
    </cfRule>
  </conditionalFormatting>
  <conditionalFormatting sqref="H41:I41">
    <cfRule type="dataBar" priority="7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{6221DC49-A566-4C83-90E4-A71A3A6B645A}</x14:id>
        </ext>
      </extLst>
    </cfRule>
  </conditionalFormatting>
  <conditionalFormatting sqref="J41:K41 T41">
    <cfRule type="dataBar" priority="7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{76D86B81-C99A-4DBA-BA4E-FF4B8373D377}</x14:id>
        </ext>
      </extLst>
    </cfRule>
  </conditionalFormatting>
  <conditionalFormatting sqref="T41">
    <cfRule type="dataBar" priority="7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{9C45B5DF-2EA8-4298-BC88-C44CA10A12FA}</x14:id>
        </ext>
      </extLst>
    </cfRule>
  </conditionalFormatting>
  <conditionalFormatting sqref="K41">
    <cfRule type="dataBar" priority="71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{27CF8AD5-EF74-40FD-B0C9-07B8344AA1D8}</x14:id>
        </ext>
      </extLst>
    </cfRule>
  </conditionalFormatting>
  <conditionalFormatting sqref="J41">
    <cfRule type="dataBar" priority="7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{EE021A72-F71B-4206-8EB5-E9A0F3B0D804}</x14:id>
        </ext>
      </extLst>
    </cfRule>
  </conditionalFormatting>
  <conditionalFormatting sqref="S39">
    <cfRule type="cellIs" dxfId="240" priority="706" operator="greaterThan">
      <formula>5</formula>
    </cfRule>
    <cfRule type="cellIs" dxfId="239" priority="707" operator="lessThan">
      <formula>0</formula>
    </cfRule>
  </conditionalFormatting>
  <conditionalFormatting sqref="S39">
    <cfRule type="containsText" dxfId="238" priority="705" operator="containsText" text="En Revisión">
      <formula>NOT(ISERROR(SEARCH("En Revisión",S39)))</formula>
    </cfRule>
  </conditionalFormatting>
  <conditionalFormatting sqref="S39">
    <cfRule type="containsText" dxfId="237" priority="703" operator="containsText" text="Entregado">
      <formula>NOT(ISERROR(SEARCH("Entregado",S39)))</formula>
    </cfRule>
    <cfRule type="containsText" dxfId="236" priority="704" operator="containsText" text="En Revisión">
      <formula>NOT(ISERROR(SEARCH("En Revisión",S39)))</formula>
    </cfRule>
  </conditionalFormatting>
  <conditionalFormatting sqref="S39">
    <cfRule type="cellIs" dxfId="235" priority="702" operator="between">
      <formula>0</formula>
      <formula>5</formula>
    </cfRule>
  </conditionalFormatting>
  <conditionalFormatting sqref="S39">
    <cfRule type="containsText" dxfId="234" priority="701" operator="containsText" text="En Revisión">
      <formula>NOT(ISERROR(SEARCH("En Revisión",S39)))</formula>
    </cfRule>
  </conditionalFormatting>
  <conditionalFormatting sqref="S39">
    <cfRule type="containsText" dxfId="233" priority="700" operator="containsText" text="Fuera de Plazo">
      <formula>NOT(ISERROR(SEARCH("Fuera de Plazo",S39)))</formula>
    </cfRule>
  </conditionalFormatting>
  <conditionalFormatting sqref="S39">
    <cfRule type="containsText" dxfId="232" priority="699" operator="containsText" text="Entregado">
      <formula>NOT(ISERROR(SEARCH("Entregado",S39)))</formula>
    </cfRule>
  </conditionalFormatting>
  <conditionalFormatting sqref="U39:V39">
    <cfRule type="dataBar" priority="7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{BA81CCA6-9611-4330-95F8-30F848D446FF}</x14:id>
        </ext>
      </extLst>
    </cfRule>
  </conditionalFormatting>
  <conditionalFormatting sqref="X39">
    <cfRule type="dataBar" priority="70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{36C8927D-7B28-4D43-94C5-E2452E895D98}</x14:id>
        </ext>
      </extLst>
    </cfRule>
  </conditionalFormatting>
  <conditionalFormatting sqref="W39">
    <cfRule type="dataBar" priority="7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{CD6E9E78-2058-4DE1-8C4B-ED4AA4E4C847}</x14:id>
        </ext>
      </extLst>
    </cfRule>
  </conditionalFormatting>
  <conditionalFormatting sqref="T39">
    <cfRule type="dataBar" priority="7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{B55C6EC3-89CD-400E-9E9B-FF1E9DE8796C}</x14:id>
        </ext>
      </extLst>
    </cfRule>
  </conditionalFormatting>
  <conditionalFormatting sqref="K39">
    <cfRule type="dataBar" priority="71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{CE5DEFDF-BEC5-48E8-B2AE-2020DC6FA7EB}</x14:id>
        </ext>
      </extLst>
    </cfRule>
  </conditionalFormatting>
  <conditionalFormatting sqref="J39">
    <cfRule type="dataBar" priority="7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{DD1E8EC2-57BE-4628-BF39-4C5771C987E9}</x14:id>
        </ext>
      </extLst>
    </cfRule>
  </conditionalFormatting>
  <conditionalFormatting sqref="O44:R44">
    <cfRule type="dataBar" priority="6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{CAE5EDB0-63BC-42C1-845B-5B5E0490D6BB}</x14:id>
        </ext>
      </extLst>
    </cfRule>
  </conditionalFormatting>
  <conditionalFormatting sqref="H44:I44">
    <cfRule type="dataBar" priority="6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{DEC8BF66-F94D-4FB7-BBA6-2DF9A793CE69}</x14:id>
        </ext>
      </extLst>
    </cfRule>
  </conditionalFormatting>
  <conditionalFormatting sqref="J44:K44 T44">
    <cfRule type="dataBar" priority="6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{ACC6773B-4295-4335-B506-AA659AFC221F}</x14:id>
        </ext>
      </extLst>
    </cfRule>
  </conditionalFormatting>
  <conditionalFormatting sqref="T44">
    <cfRule type="dataBar" priority="6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{E3208BD9-8619-495A-8B72-5BDB8663BD79}</x14:id>
        </ext>
      </extLst>
    </cfRule>
  </conditionalFormatting>
  <conditionalFormatting sqref="K44">
    <cfRule type="dataBar" priority="69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{2F1325A1-F302-4962-B5F1-9A274EBBFFF0}</x14:id>
        </ext>
      </extLst>
    </cfRule>
  </conditionalFormatting>
  <conditionalFormatting sqref="J44">
    <cfRule type="dataBar" priority="6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{D8F61711-E72B-423B-84A1-02631B67917B}</x14:id>
        </ext>
      </extLst>
    </cfRule>
  </conditionalFormatting>
  <conditionalFormatting sqref="S44">
    <cfRule type="cellIs" dxfId="231" priority="685" operator="greaterThan">
      <formula>5</formula>
    </cfRule>
    <cfRule type="cellIs" dxfId="230" priority="686" operator="lessThan">
      <formula>0</formula>
    </cfRule>
  </conditionalFormatting>
  <conditionalFormatting sqref="S44">
    <cfRule type="containsText" dxfId="229" priority="684" operator="containsText" text="En Revisión">
      <formula>NOT(ISERROR(SEARCH("En Revisión",S44)))</formula>
    </cfRule>
  </conditionalFormatting>
  <conditionalFormatting sqref="S44">
    <cfRule type="containsText" dxfId="228" priority="682" operator="containsText" text="Entregado">
      <formula>NOT(ISERROR(SEARCH("Entregado",S44)))</formula>
    </cfRule>
    <cfRule type="containsText" dxfId="227" priority="683" operator="containsText" text="En Revisión">
      <formula>NOT(ISERROR(SEARCH("En Revisión",S44)))</formula>
    </cfRule>
  </conditionalFormatting>
  <conditionalFormatting sqref="S44">
    <cfRule type="cellIs" dxfId="226" priority="681" operator="between">
      <formula>0</formula>
      <formula>5</formula>
    </cfRule>
  </conditionalFormatting>
  <conditionalFormatting sqref="S44">
    <cfRule type="containsText" dxfId="225" priority="680" operator="containsText" text="En Revisión">
      <formula>NOT(ISERROR(SEARCH("En Revisión",S44)))</formula>
    </cfRule>
  </conditionalFormatting>
  <conditionalFormatting sqref="S44">
    <cfRule type="containsText" dxfId="224" priority="679" operator="containsText" text="Fuera de Plazo">
      <formula>NOT(ISERROR(SEARCH("Fuera de Plazo",S44)))</formula>
    </cfRule>
  </conditionalFormatting>
  <conditionalFormatting sqref="S44">
    <cfRule type="containsText" dxfId="223" priority="678" operator="containsText" text="Entregado">
      <formula>NOT(ISERROR(SEARCH("Entregado",S44)))</formula>
    </cfRule>
  </conditionalFormatting>
  <conditionalFormatting sqref="U44:V44">
    <cfRule type="dataBar" priority="6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{76D86FF3-99BA-438C-89F7-DCE8FB4BF003}</x14:id>
        </ext>
      </extLst>
    </cfRule>
  </conditionalFormatting>
  <conditionalFormatting sqref="X44">
    <cfRule type="dataBar" priority="68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{DBC800B1-3F0E-4D32-B95F-D09A44AA3C02}</x14:id>
        </ext>
      </extLst>
    </cfRule>
  </conditionalFormatting>
  <conditionalFormatting sqref="W44">
    <cfRule type="dataBar" priority="6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{A73B43B5-967E-492B-AFD1-1ADB0CF7DFA5}</x14:id>
        </ext>
      </extLst>
    </cfRule>
  </conditionalFormatting>
  <conditionalFormatting sqref="C44:D44">
    <cfRule type="dataBar" priority="6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{2F301F71-C0B5-4AB8-921F-262799E168FA}</x14:id>
        </ext>
      </extLst>
    </cfRule>
  </conditionalFormatting>
  <conditionalFormatting sqref="S48:S51">
    <cfRule type="cellIs" dxfId="222" priority="668" operator="greaterThan">
      <formula>5</formula>
    </cfRule>
    <cfRule type="cellIs" dxfId="221" priority="669" operator="lessThan">
      <formula>0</formula>
    </cfRule>
  </conditionalFormatting>
  <conditionalFormatting sqref="S48:S51">
    <cfRule type="containsText" dxfId="220" priority="667" operator="containsText" text="En Revisión">
      <formula>NOT(ISERROR(SEARCH("En Revisión",S48)))</formula>
    </cfRule>
  </conditionalFormatting>
  <conditionalFormatting sqref="S48:S51">
    <cfRule type="containsText" dxfId="219" priority="665" operator="containsText" text="Entregado">
      <formula>NOT(ISERROR(SEARCH("Entregado",S48)))</formula>
    </cfRule>
    <cfRule type="containsText" dxfId="218" priority="666" operator="containsText" text="En Revisión">
      <formula>NOT(ISERROR(SEARCH("En Revisión",S48)))</formula>
    </cfRule>
  </conditionalFormatting>
  <conditionalFormatting sqref="S48:S51">
    <cfRule type="cellIs" dxfId="217" priority="664" operator="between">
      <formula>0</formula>
      <formula>5</formula>
    </cfRule>
  </conditionalFormatting>
  <conditionalFormatting sqref="S48:S51">
    <cfRule type="containsText" dxfId="216" priority="663" operator="containsText" text="En Revisión">
      <formula>NOT(ISERROR(SEARCH("En Revisión",S48)))</formula>
    </cfRule>
  </conditionalFormatting>
  <conditionalFormatting sqref="S48:S51">
    <cfRule type="containsText" dxfId="215" priority="662" operator="containsText" text="Fuera de Plazo">
      <formula>NOT(ISERROR(SEARCH("Fuera de Plazo",S48)))</formula>
    </cfRule>
  </conditionalFormatting>
  <conditionalFormatting sqref="S48:S51">
    <cfRule type="containsText" dxfId="214" priority="661" operator="containsText" text="Entregado">
      <formula>NOT(ISERROR(SEARCH("Entregado",S48)))</formula>
    </cfRule>
  </conditionalFormatting>
  <conditionalFormatting sqref="U48:V51">
    <cfRule type="dataBar" priority="6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{02E27E8E-598A-41B1-84D0-1805DD2F8091}</x14:id>
        </ext>
      </extLst>
    </cfRule>
  </conditionalFormatting>
  <conditionalFormatting sqref="X48:X51">
    <cfRule type="dataBar" priority="67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{3EA3972A-CC8C-42B4-A443-119E4A858B5F}</x14:id>
        </ext>
      </extLst>
    </cfRule>
  </conditionalFormatting>
  <conditionalFormatting sqref="W48:W51">
    <cfRule type="dataBar" priority="6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{727A0644-81ED-465B-AF43-A1EC771B2F84}</x14:id>
        </ext>
      </extLst>
    </cfRule>
  </conditionalFormatting>
  <conditionalFormatting sqref="T48:T51">
    <cfRule type="dataBar" priority="6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{3A0BF157-DEAB-412A-96B8-7F1AC7755B3A}</x14:id>
        </ext>
      </extLst>
    </cfRule>
  </conditionalFormatting>
  <conditionalFormatting sqref="K48:K51">
    <cfRule type="dataBar" priority="67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{AD63D117-9EBC-4F12-9A01-CAE86015EA0E}</x14:id>
        </ext>
      </extLst>
    </cfRule>
  </conditionalFormatting>
  <conditionalFormatting sqref="J48:J51">
    <cfRule type="dataBar" priority="6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{4E68B42A-406C-4D0B-AD14-89471FFC0D4D}</x14:id>
        </ext>
      </extLst>
    </cfRule>
  </conditionalFormatting>
  <conditionalFormatting sqref="O50:R50">
    <cfRule type="dataBar" priority="6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{3B8EA5EB-8194-43B9-BEF0-7A89C8C2FD97}</x14:id>
        </ext>
      </extLst>
    </cfRule>
  </conditionalFormatting>
  <conditionalFormatting sqref="S52:S54">
    <cfRule type="cellIs" dxfId="213" priority="651" operator="greaterThan">
      <formula>5</formula>
    </cfRule>
    <cfRule type="cellIs" dxfId="212" priority="652" operator="lessThan">
      <formula>0</formula>
    </cfRule>
  </conditionalFormatting>
  <conditionalFormatting sqref="S52:S54">
    <cfRule type="containsText" dxfId="211" priority="650" operator="containsText" text="En Revisión">
      <formula>NOT(ISERROR(SEARCH("En Revisión",S52)))</formula>
    </cfRule>
  </conditionalFormatting>
  <conditionalFormatting sqref="S52:S54">
    <cfRule type="containsText" dxfId="210" priority="648" operator="containsText" text="Entregado">
      <formula>NOT(ISERROR(SEARCH("Entregado",S52)))</formula>
    </cfRule>
    <cfRule type="containsText" dxfId="209" priority="649" operator="containsText" text="En Revisión">
      <formula>NOT(ISERROR(SEARCH("En Revisión",S52)))</formula>
    </cfRule>
  </conditionalFormatting>
  <conditionalFormatting sqref="S52:S54">
    <cfRule type="cellIs" dxfId="208" priority="647" operator="between">
      <formula>0</formula>
      <formula>5</formula>
    </cfRule>
  </conditionalFormatting>
  <conditionalFormatting sqref="S52:S54">
    <cfRule type="containsText" dxfId="207" priority="646" operator="containsText" text="En Revisión">
      <formula>NOT(ISERROR(SEARCH("En Revisión",S52)))</formula>
    </cfRule>
  </conditionalFormatting>
  <conditionalFormatting sqref="S52:S54">
    <cfRule type="containsText" dxfId="206" priority="645" operator="containsText" text="Fuera de Plazo">
      <formula>NOT(ISERROR(SEARCH("Fuera de Plazo",S52)))</formula>
    </cfRule>
  </conditionalFormatting>
  <conditionalFormatting sqref="S52:S54">
    <cfRule type="containsText" dxfId="205" priority="644" operator="containsText" text="Entregado">
      <formula>NOT(ISERROR(SEARCH("Entregado",S52)))</formula>
    </cfRule>
  </conditionalFormatting>
  <conditionalFormatting sqref="U52:V54">
    <cfRule type="dataBar" priority="6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{1A4117A1-CC11-46BE-8078-331DA07F8627}</x14:id>
        </ext>
      </extLst>
    </cfRule>
  </conditionalFormatting>
  <conditionalFormatting sqref="X52:X54">
    <cfRule type="dataBar" priority="65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{ED774521-91FD-4965-83B3-0016832BBF82}</x14:id>
        </ext>
      </extLst>
    </cfRule>
  </conditionalFormatting>
  <conditionalFormatting sqref="W52:W54">
    <cfRule type="dataBar" priority="6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{96CBE86D-2008-4FC1-B46E-A63054131486}</x14:id>
        </ext>
      </extLst>
    </cfRule>
  </conditionalFormatting>
  <conditionalFormatting sqref="T52:T54">
    <cfRule type="dataBar" priority="6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{B22BA28B-F13A-4328-AF9E-CD2861C1B741}</x14:id>
        </ext>
      </extLst>
    </cfRule>
  </conditionalFormatting>
  <conditionalFormatting sqref="K52:K54">
    <cfRule type="dataBar" priority="65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{55FF9AAD-9D54-45DC-B097-7E293E546602}</x14:id>
        </ext>
      </extLst>
    </cfRule>
  </conditionalFormatting>
  <conditionalFormatting sqref="J52:J54">
    <cfRule type="dataBar" priority="6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{86796A37-36F0-4DBE-A0D3-361C6D30EFEE}</x14:id>
        </ext>
      </extLst>
    </cfRule>
  </conditionalFormatting>
  <conditionalFormatting sqref="O52:R52">
    <cfRule type="dataBar" priority="6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{185F4694-C12F-49BC-ACA7-A93609DE3623}</x14:id>
        </ext>
      </extLst>
    </cfRule>
  </conditionalFormatting>
  <conditionalFormatting sqref="O53:R53">
    <cfRule type="dataBar" priority="6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{4C30F3B6-61B4-45B0-84D5-8E92AF7F2DB8}</x14:id>
        </ext>
      </extLst>
    </cfRule>
  </conditionalFormatting>
  <conditionalFormatting sqref="O54:R54">
    <cfRule type="dataBar" priority="6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{DA0CE42B-6F38-4E6F-A973-32712CCF5DF2}</x14:id>
        </ext>
      </extLst>
    </cfRule>
  </conditionalFormatting>
  <conditionalFormatting sqref="S56:S61">
    <cfRule type="cellIs" dxfId="204" priority="629" operator="greaterThan">
      <formula>5</formula>
    </cfRule>
    <cfRule type="cellIs" dxfId="203" priority="630" operator="lessThan">
      <formula>0</formula>
    </cfRule>
  </conditionalFormatting>
  <conditionalFormatting sqref="S56:S61">
    <cfRule type="containsText" dxfId="202" priority="628" operator="containsText" text="En Revisión">
      <formula>NOT(ISERROR(SEARCH("En Revisión",S56)))</formula>
    </cfRule>
  </conditionalFormatting>
  <conditionalFormatting sqref="S56:S61">
    <cfRule type="containsText" dxfId="201" priority="626" operator="containsText" text="Entregado">
      <formula>NOT(ISERROR(SEARCH("Entregado",S56)))</formula>
    </cfRule>
    <cfRule type="containsText" dxfId="200" priority="627" operator="containsText" text="En Revisión">
      <formula>NOT(ISERROR(SEARCH("En Revisión",S56)))</formula>
    </cfRule>
  </conditionalFormatting>
  <conditionalFormatting sqref="S56:S61">
    <cfRule type="cellIs" dxfId="199" priority="625" operator="between">
      <formula>0</formula>
      <formula>5</formula>
    </cfRule>
  </conditionalFormatting>
  <conditionalFormatting sqref="S56:S61">
    <cfRule type="containsText" dxfId="198" priority="624" operator="containsText" text="En Revisión">
      <formula>NOT(ISERROR(SEARCH("En Revisión",S56)))</formula>
    </cfRule>
  </conditionalFormatting>
  <conditionalFormatting sqref="S56:S61">
    <cfRule type="containsText" dxfId="197" priority="623" operator="containsText" text="Fuera de Plazo">
      <formula>NOT(ISERROR(SEARCH("Fuera de Plazo",S56)))</formula>
    </cfRule>
  </conditionalFormatting>
  <conditionalFormatting sqref="S56:S61">
    <cfRule type="containsText" dxfId="196" priority="622" operator="containsText" text="Entregado">
      <formula>NOT(ISERROR(SEARCH("Entregado",S56)))</formula>
    </cfRule>
  </conditionalFormatting>
  <conditionalFormatting sqref="U56:V61">
    <cfRule type="dataBar" priority="6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{423B4612-FE3A-41EB-9783-9B9514548945}</x14:id>
        </ext>
      </extLst>
    </cfRule>
  </conditionalFormatting>
  <conditionalFormatting sqref="X56:X61">
    <cfRule type="dataBar" priority="63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{5739F4B4-3EA3-468D-A6B9-636165A793D0}</x14:id>
        </ext>
      </extLst>
    </cfRule>
  </conditionalFormatting>
  <conditionalFormatting sqref="W56:W61">
    <cfRule type="dataBar" priority="6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{E941BE56-D44D-4B88-B109-FA3954687252}</x14:id>
        </ext>
      </extLst>
    </cfRule>
  </conditionalFormatting>
  <conditionalFormatting sqref="T56:T61">
    <cfRule type="dataBar" priority="6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{49138B33-92DE-4618-9179-F3423AE5092B}</x14:id>
        </ext>
      </extLst>
    </cfRule>
  </conditionalFormatting>
  <conditionalFormatting sqref="K56:K61">
    <cfRule type="dataBar" priority="63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{9DBBE363-4F62-4F7B-8774-009A4DC7A0A2}</x14:id>
        </ext>
      </extLst>
    </cfRule>
  </conditionalFormatting>
  <conditionalFormatting sqref="J56:J61">
    <cfRule type="dataBar" priority="6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{525E7B86-CA07-4EEB-951C-A90D5D5FAA1C}</x14:id>
        </ext>
      </extLst>
    </cfRule>
  </conditionalFormatting>
  <conditionalFormatting sqref="S62">
    <cfRule type="cellIs" dxfId="195" priority="613" operator="greaterThan">
      <formula>5</formula>
    </cfRule>
    <cfRule type="cellIs" dxfId="194" priority="614" operator="lessThan">
      <formula>0</formula>
    </cfRule>
  </conditionalFormatting>
  <conditionalFormatting sqref="S62">
    <cfRule type="containsText" dxfId="193" priority="612" operator="containsText" text="En Revisión">
      <formula>NOT(ISERROR(SEARCH("En Revisión",S62)))</formula>
    </cfRule>
  </conditionalFormatting>
  <conditionalFormatting sqref="S62">
    <cfRule type="containsText" dxfId="192" priority="610" operator="containsText" text="Entregado">
      <formula>NOT(ISERROR(SEARCH("Entregado",S62)))</formula>
    </cfRule>
    <cfRule type="containsText" dxfId="191" priority="611" operator="containsText" text="En Revisión">
      <formula>NOT(ISERROR(SEARCH("En Revisión",S62)))</formula>
    </cfRule>
  </conditionalFormatting>
  <conditionalFormatting sqref="S62">
    <cfRule type="cellIs" dxfId="190" priority="609" operator="between">
      <formula>0</formula>
      <formula>5</formula>
    </cfRule>
  </conditionalFormatting>
  <conditionalFormatting sqref="S62">
    <cfRule type="containsText" dxfId="189" priority="608" operator="containsText" text="En Revisión">
      <formula>NOT(ISERROR(SEARCH("En Revisión",S62)))</formula>
    </cfRule>
  </conditionalFormatting>
  <conditionalFormatting sqref="S62">
    <cfRule type="containsText" dxfId="188" priority="607" operator="containsText" text="Fuera de Plazo">
      <formula>NOT(ISERROR(SEARCH("Fuera de Plazo",S62)))</formula>
    </cfRule>
  </conditionalFormatting>
  <conditionalFormatting sqref="S62">
    <cfRule type="containsText" dxfId="187" priority="606" operator="containsText" text="Entregado">
      <formula>NOT(ISERROR(SEARCH("Entregado",S62)))</formula>
    </cfRule>
  </conditionalFormatting>
  <conditionalFormatting sqref="U62:V62">
    <cfRule type="dataBar" priority="6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{3EFD77BD-DDE9-4372-B5BE-1FAC1D3B1A06}</x14:id>
        </ext>
      </extLst>
    </cfRule>
  </conditionalFormatting>
  <conditionalFormatting sqref="X62">
    <cfRule type="dataBar" priority="61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{6EE32B6D-83EF-488A-9CD1-BF124EB80DF7}</x14:id>
        </ext>
      </extLst>
    </cfRule>
  </conditionalFormatting>
  <conditionalFormatting sqref="W62">
    <cfRule type="dataBar" priority="6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{79A82110-9528-431D-A81C-F90DC64F2894}</x14:id>
        </ext>
      </extLst>
    </cfRule>
  </conditionalFormatting>
  <conditionalFormatting sqref="T62">
    <cfRule type="dataBar" priority="6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{38459F0A-B19D-43D5-81C9-CE85833CBEDF}</x14:id>
        </ext>
      </extLst>
    </cfRule>
  </conditionalFormatting>
  <conditionalFormatting sqref="K62">
    <cfRule type="dataBar" priority="61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{8011AC4B-1432-4CAD-8992-066005A7D38B}</x14:id>
        </ext>
      </extLst>
    </cfRule>
  </conditionalFormatting>
  <conditionalFormatting sqref="J62">
    <cfRule type="dataBar" priority="6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{C74B255E-0F0A-4E6C-8EE6-662398A9668F}</x14:id>
        </ext>
      </extLst>
    </cfRule>
  </conditionalFormatting>
  <conditionalFormatting sqref="O55:R55">
    <cfRule type="dataBar" priority="6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{516D3632-5E0F-4EDB-B035-80F41ED759E6}</x14:id>
        </ext>
      </extLst>
    </cfRule>
  </conditionalFormatting>
  <conditionalFormatting sqref="O60:R60">
    <cfRule type="dataBar" priority="6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{2BC496E4-2C6D-493B-B8AB-5D6D61AFB64A}</x14:id>
        </ext>
      </extLst>
    </cfRule>
  </conditionalFormatting>
  <conditionalFormatting sqref="S63">
    <cfRule type="cellIs" dxfId="186" priority="593" operator="greaterThan">
      <formula>5</formula>
    </cfRule>
    <cfRule type="cellIs" dxfId="185" priority="594" operator="lessThan">
      <formula>0</formula>
    </cfRule>
  </conditionalFormatting>
  <conditionalFormatting sqref="S63">
    <cfRule type="containsText" dxfId="184" priority="592" operator="containsText" text="En Revisión">
      <formula>NOT(ISERROR(SEARCH("En Revisión",S63)))</formula>
    </cfRule>
  </conditionalFormatting>
  <conditionalFormatting sqref="S63">
    <cfRule type="containsText" dxfId="183" priority="590" operator="containsText" text="Entregado">
      <formula>NOT(ISERROR(SEARCH("Entregado",S63)))</formula>
    </cfRule>
    <cfRule type="containsText" dxfId="182" priority="591" operator="containsText" text="En Revisión">
      <formula>NOT(ISERROR(SEARCH("En Revisión",S63)))</formula>
    </cfRule>
  </conditionalFormatting>
  <conditionalFormatting sqref="S63">
    <cfRule type="cellIs" dxfId="181" priority="589" operator="between">
      <formula>0</formula>
      <formula>5</formula>
    </cfRule>
  </conditionalFormatting>
  <conditionalFormatting sqref="S63">
    <cfRule type="containsText" dxfId="180" priority="588" operator="containsText" text="En Revisión">
      <formula>NOT(ISERROR(SEARCH("En Revisión",S63)))</formula>
    </cfRule>
  </conditionalFormatting>
  <conditionalFormatting sqref="S63">
    <cfRule type="containsText" dxfId="179" priority="587" operator="containsText" text="Fuera de Plazo">
      <formula>NOT(ISERROR(SEARCH("Fuera de Plazo",S63)))</formula>
    </cfRule>
  </conditionalFormatting>
  <conditionalFormatting sqref="S63">
    <cfRule type="containsText" dxfId="178" priority="586" operator="containsText" text="Entregado">
      <formula>NOT(ISERROR(SEARCH("Entregado",S63)))</formula>
    </cfRule>
  </conditionalFormatting>
  <conditionalFormatting sqref="U63:V63">
    <cfRule type="dataBar" priority="5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{8435AEE2-C22D-4115-BBE5-1A635FAC8BE0}</x14:id>
        </ext>
      </extLst>
    </cfRule>
  </conditionalFormatting>
  <conditionalFormatting sqref="X63">
    <cfRule type="dataBar" priority="59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{E45B7614-0F58-44F8-96DB-FADE1C7E51CC}</x14:id>
        </ext>
      </extLst>
    </cfRule>
  </conditionalFormatting>
  <conditionalFormatting sqref="W63">
    <cfRule type="dataBar" priority="5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{9A83EFD1-6221-4619-A6FE-0D4FB48BF2E0}</x14:id>
        </ext>
      </extLst>
    </cfRule>
  </conditionalFormatting>
  <conditionalFormatting sqref="T63">
    <cfRule type="dataBar" priority="5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{15E051E0-363A-4F9C-9ED4-E2605354A254}</x14:id>
        </ext>
      </extLst>
    </cfRule>
  </conditionalFormatting>
  <conditionalFormatting sqref="K63">
    <cfRule type="dataBar" priority="59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{82E22D97-4AD5-4022-A129-973E66236382}</x14:id>
        </ext>
      </extLst>
    </cfRule>
  </conditionalFormatting>
  <conditionalFormatting sqref="J63">
    <cfRule type="dataBar" priority="6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{6816CAB0-1659-4170-AFEE-FC6C6E5EBF29}</x14:id>
        </ext>
      </extLst>
    </cfRule>
  </conditionalFormatting>
  <conditionalFormatting sqref="S64:S66">
    <cfRule type="cellIs" dxfId="177" priority="576" operator="greaterThan">
      <formula>5</formula>
    </cfRule>
    <cfRule type="cellIs" dxfId="176" priority="577" operator="lessThan">
      <formula>0</formula>
    </cfRule>
  </conditionalFormatting>
  <conditionalFormatting sqref="S64:S66">
    <cfRule type="containsText" dxfId="175" priority="575" operator="containsText" text="En Revisión">
      <formula>NOT(ISERROR(SEARCH("En Revisión",S64)))</formula>
    </cfRule>
  </conditionalFormatting>
  <conditionalFormatting sqref="S64:S66">
    <cfRule type="containsText" dxfId="174" priority="573" operator="containsText" text="Entregado">
      <formula>NOT(ISERROR(SEARCH("Entregado",S64)))</formula>
    </cfRule>
    <cfRule type="containsText" dxfId="173" priority="574" operator="containsText" text="En Revisión">
      <formula>NOT(ISERROR(SEARCH("En Revisión",S64)))</formula>
    </cfRule>
  </conditionalFormatting>
  <conditionalFormatting sqref="S64:S66">
    <cfRule type="cellIs" dxfId="172" priority="572" operator="between">
      <formula>0</formula>
      <formula>5</formula>
    </cfRule>
  </conditionalFormatting>
  <conditionalFormatting sqref="S64:S66">
    <cfRule type="containsText" dxfId="171" priority="571" operator="containsText" text="En Revisión">
      <formula>NOT(ISERROR(SEARCH("En Revisión",S64)))</formula>
    </cfRule>
  </conditionalFormatting>
  <conditionalFormatting sqref="S64:S66">
    <cfRule type="containsText" dxfId="170" priority="570" operator="containsText" text="Fuera de Plazo">
      <formula>NOT(ISERROR(SEARCH("Fuera de Plazo",S64)))</formula>
    </cfRule>
  </conditionalFormatting>
  <conditionalFormatting sqref="S64:S66">
    <cfRule type="containsText" dxfId="169" priority="569" operator="containsText" text="Entregado">
      <formula>NOT(ISERROR(SEARCH("Entregado",S64)))</formula>
    </cfRule>
  </conditionalFormatting>
  <conditionalFormatting sqref="U64:V66">
    <cfRule type="dataBar" priority="5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{05248DC3-98F3-4D11-92B8-07D7108C29AA}</x14:id>
        </ext>
      </extLst>
    </cfRule>
  </conditionalFormatting>
  <conditionalFormatting sqref="X64:X66">
    <cfRule type="dataBar" priority="57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{06F3EC34-D0A9-47C0-929F-2F505F3BADBC}</x14:id>
        </ext>
      </extLst>
    </cfRule>
  </conditionalFormatting>
  <conditionalFormatting sqref="W64:W66">
    <cfRule type="dataBar" priority="5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{9BEB08D2-F795-4006-A048-DF39BD657B20}</x14:id>
        </ext>
      </extLst>
    </cfRule>
  </conditionalFormatting>
  <conditionalFormatting sqref="T64:T66">
    <cfRule type="dataBar" priority="5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{6F3A4567-95B3-4E6E-AE65-39123E88437C}</x14:id>
        </ext>
      </extLst>
    </cfRule>
  </conditionalFormatting>
  <conditionalFormatting sqref="K64:K66">
    <cfRule type="dataBar" priority="58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{62D6EE25-1E09-4C9D-875E-DF34AB99BB18}</x14:id>
        </ext>
      </extLst>
    </cfRule>
  </conditionalFormatting>
  <conditionalFormatting sqref="J64:J66">
    <cfRule type="dataBar" priority="5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{C5DD982A-058C-4491-A3E2-A16520F1A641}</x14:id>
        </ext>
      </extLst>
    </cfRule>
  </conditionalFormatting>
  <conditionalFormatting sqref="O64:R64">
    <cfRule type="dataBar" priority="5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{326E308D-8EDA-4046-8220-E65FF15F5D60}</x14:id>
        </ext>
      </extLst>
    </cfRule>
  </conditionalFormatting>
  <conditionalFormatting sqref="S67:S69">
    <cfRule type="cellIs" dxfId="168" priority="558" operator="greaterThan">
      <formula>5</formula>
    </cfRule>
    <cfRule type="cellIs" dxfId="167" priority="559" operator="lessThan">
      <formula>0</formula>
    </cfRule>
  </conditionalFormatting>
  <conditionalFormatting sqref="S67:S69">
    <cfRule type="containsText" dxfId="166" priority="557" operator="containsText" text="En Revisión">
      <formula>NOT(ISERROR(SEARCH("En Revisión",S67)))</formula>
    </cfRule>
  </conditionalFormatting>
  <conditionalFormatting sqref="S67:S69">
    <cfRule type="containsText" dxfId="165" priority="555" operator="containsText" text="Entregado">
      <formula>NOT(ISERROR(SEARCH("Entregado",S67)))</formula>
    </cfRule>
    <cfRule type="containsText" dxfId="164" priority="556" operator="containsText" text="En Revisión">
      <formula>NOT(ISERROR(SEARCH("En Revisión",S67)))</formula>
    </cfRule>
  </conditionalFormatting>
  <conditionalFormatting sqref="S67:S69">
    <cfRule type="cellIs" dxfId="163" priority="554" operator="between">
      <formula>0</formula>
      <formula>5</formula>
    </cfRule>
  </conditionalFormatting>
  <conditionalFormatting sqref="S67:S69">
    <cfRule type="containsText" dxfId="162" priority="553" operator="containsText" text="En Revisión">
      <formula>NOT(ISERROR(SEARCH("En Revisión",S67)))</formula>
    </cfRule>
  </conditionalFormatting>
  <conditionalFormatting sqref="S67:S69">
    <cfRule type="containsText" dxfId="161" priority="552" operator="containsText" text="Fuera de Plazo">
      <formula>NOT(ISERROR(SEARCH("Fuera de Plazo",S67)))</formula>
    </cfRule>
  </conditionalFormatting>
  <conditionalFormatting sqref="S67:S69">
    <cfRule type="containsText" dxfId="160" priority="551" operator="containsText" text="Entregado">
      <formula>NOT(ISERROR(SEARCH("Entregado",S67)))</formula>
    </cfRule>
  </conditionalFormatting>
  <conditionalFormatting sqref="U67:V69">
    <cfRule type="dataBar" priority="9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{A4D7B260-69FB-4D07-8190-7A78E555FDFA}</x14:id>
        </ext>
      </extLst>
    </cfRule>
  </conditionalFormatting>
  <conditionalFormatting sqref="X67:X69">
    <cfRule type="dataBar" priority="96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{9F3972B5-1CEA-48C6-AA37-D5826EF8C9F8}</x14:id>
        </ext>
      </extLst>
    </cfRule>
  </conditionalFormatting>
  <conditionalFormatting sqref="W67:W69">
    <cfRule type="dataBar" priority="9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{18C87C05-9E6E-4E06-8A8C-BCD943D4315B}</x14:id>
        </ext>
      </extLst>
    </cfRule>
  </conditionalFormatting>
  <conditionalFormatting sqref="T67:T69">
    <cfRule type="dataBar" priority="9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{135FBEEF-4122-466F-86FF-0ACE10126CF7}</x14:id>
        </ext>
      </extLst>
    </cfRule>
  </conditionalFormatting>
  <conditionalFormatting sqref="K67:K69">
    <cfRule type="dataBar" priority="96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{4CF5D8A6-3C3B-408E-A2FC-E761D5F74AEB}</x14:id>
        </ext>
      </extLst>
    </cfRule>
  </conditionalFormatting>
  <conditionalFormatting sqref="J67:J69">
    <cfRule type="dataBar" priority="9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{91618CDC-1233-4FDB-8784-8194C57D1C16}</x14:id>
        </ext>
      </extLst>
    </cfRule>
  </conditionalFormatting>
  <conditionalFormatting sqref="O66:R66">
    <cfRule type="dataBar" priority="5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{A39C12C6-2872-414D-8A5C-8024AB2116B5}</x14:id>
        </ext>
      </extLst>
    </cfRule>
  </conditionalFormatting>
  <conditionalFormatting sqref="O68:R68">
    <cfRule type="dataBar" priority="5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{970EB8AE-C1C9-41DA-80FE-DD4F1E77D6B6}</x14:id>
        </ext>
      </extLst>
    </cfRule>
  </conditionalFormatting>
  <conditionalFormatting sqref="G71">
    <cfRule type="dataBar" priority="5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{AE51E1A8-2B24-4DAE-B999-4AB286642B13}</x14:id>
        </ext>
      </extLst>
    </cfRule>
  </conditionalFormatting>
  <conditionalFormatting sqref="O71:R71">
    <cfRule type="dataBar" priority="5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{809CC1F3-9529-46B5-806F-1DD55A1532DF}</x14:id>
        </ext>
      </extLst>
    </cfRule>
  </conditionalFormatting>
  <conditionalFormatting sqref="S72">
    <cfRule type="cellIs" dxfId="159" priority="537" operator="greaterThan">
      <formula>5</formula>
    </cfRule>
    <cfRule type="cellIs" dxfId="158" priority="538" operator="lessThan">
      <formula>0</formula>
    </cfRule>
  </conditionalFormatting>
  <conditionalFormatting sqref="S72">
    <cfRule type="containsText" dxfId="157" priority="536" operator="containsText" text="En Revisión">
      <formula>NOT(ISERROR(SEARCH("En Revisión",S72)))</formula>
    </cfRule>
  </conditionalFormatting>
  <conditionalFormatting sqref="S72">
    <cfRule type="containsText" dxfId="156" priority="534" operator="containsText" text="Entregado">
      <formula>NOT(ISERROR(SEARCH("Entregado",S72)))</formula>
    </cfRule>
    <cfRule type="containsText" dxfId="155" priority="535" operator="containsText" text="En Revisión">
      <formula>NOT(ISERROR(SEARCH("En Revisión",S72)))</formula>
    </cfRule>
  </conditionalFormatting>
  <conditionalFormatting sqref="S72">
    <cfRule type="cellIs" dxfId="154" priority="533" operator="between">
      <formula>0</formula>
      <formula>5</formula>
    </cfRule>
  </conditionalFormatting>
  <conditionalFormatting sqref="S72">
    <cfRule type="containsText" dxfId="153" priority="532" operator="containsText" text="En Revisión">
      <formula>NOT(ISERROR(SEARCH("En Revisión",S72)))</formula>
    </cfRule>
  </conditionalFormatting>
  <conditionalFormatting sqref="S72">
    <cfRule type="containsText" dxfId="152" priority="531" operator="containsText" text="Fuera de Plazo">
      <formula>NOT(ISERROR(SEARCH("Fuera de Plazo",S72)))</formula>
    </cfRule>
  </conditionalFormatting>
  <conditionalFormatting sqref="S72">
    <cfRule type="containsText" dxfId="151" priority="530" operator="containsText" text="Entregado">
      <formula>NOT(ISERROR(SEARCH("Entregado",S72)))</formula>
    </cfRule>
  </conditionalFormatting>
  <conditionalFormatting sqref="U72:V72">
    <cfRule type="dataBar" priority="5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{2F522445-9755-4E31-AA04-A7B49B6CEF5C}</x14:id>
        </ext>
      </extLst>
    </cfRule>
  </conditionalFormatting>
  <conditionalFormatting sqref="X72">
    <cfRule type="dataBar" priority="54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{98261204-1818-4A1D-A669-7864934E95FF}</x14:id>
        </ext>
      </extLst>
    </cfRule>
  </conditionalFormatting>
  <conditionalFormatting sqref="W72">
    <cfRule type="dataBar" priority="5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{B6D8A33C-771C-4B60-994D-2B2BCDD0637E}</x14:id>
        </ext>
      </extLst>
    </cfRule>
  </conditionalFormatting>
  <conditionalFormatting sqref="T72">
    <cfRule type="dataBar" priority="5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{BF41F130-5B39-4C29-99EE-E30DCF116E65}</x14:id>
        </ext>
      </extLst>
    </cfRule>
  </conditionalFormatting>
  <conditionalFormatting sqref="K72">
    <cfRule type="dataBar" priority="54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{7C752EA9-D036-4056-8FFE-E1FA3F8C4E85}</x14:id>
        </ext>
      </extLst>
    </cfRule>
  </conditionalFormatting>
  <conditionalFormatting sqref="J72">
    <cfRule type="dataBar" priority="5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{84845886-0A0D-45AE-B2C5-900E78535221}</x14:id>
        </ext>
      </extLst>
    </cfRule>
  </conditionalFormatting>
  <conditionalFormatting sqref="G72">
    <cfRule type="dataBar" priority="5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{2D6A92F3-77CA-4B36-B78E-97A6DD95D017}</x14:id>
        </ext>
      </extLst>
    </cfRule>
  </conditionalFormatting>
  <conditionalFormatting sqref="O72:R72">
    <cfRule type="dataBar" priority="5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{EBDBBF26-ED8C-43CE-9160-46A02215BED7}</x14:id>
        </ext>
      </extLst>
    </cfRule>
  </conditionalFormatting>
  <conditionalFormatting sqref="S73">
    <cfRule type="cellIs" dxfId="150" priority="519" operator="greaterThan">
      <formula>5</formula>
    </cfRule>
    <cfRule type="cellIs" dxfId="149" priority="520" operator="lessThan">
      <formula>0</formula>
    </cfRule>
  </conditionalFormatting>
  <conditionalFormatting sqref="S73">
    <cfRule type="containsText" dxfId="148" priority="518" operator="containsText" text="En Revisión">
      <formula>NOT(ISERROR(SEARCH("En Revisión",S73)))</formula>
    </cfRule>
  </conditionalFormatting>
  <conditionalFormatting sqref="S73">
    <cfRule type="containsText" dxfId="147" priority="516" operator="containsText" text="Entregado">
      <formula>NOT(ISERROR(SEARCH("Entregado",S73)))</formula>
    </cfRule>
    <cfRule type="containsText" dxfId="146" priority="517" operator="containsText" text="En Revisión">
      <formula>NOT(ISERROR(SEARCH("En Revisión",S73)))</formula>
    </cfRule>
  </conditionalFormatting>
  <conditionalFormatting sqref="S73">
    <cfRule type="cellIs" dxfId="145" priority="515" operator="between">
      <formula>0</formula>
      <formula>5</formula>
    </cfRule>
  </conditionalFormatting>
  <conditionalFormatting sqref="S73">
    <cfRule type="containsText" dxfId="144" priority="514" operator="containsText" text="En Revisión">
      <formula>NOT(ISERROR(SEARCH("En Revisión",S73)))</formula>
    </cfRule>
  </conditionalFormatting>
  <conditionalFormatting sqref="S73">
    <cfRule type="containsText" dxfId="143" priority="513" operator="containsText" text="Fuera de Plazo">
      <formula>NOT(ISERROR(SEARCH("Fuera de Plazo",S73)))</formula>
    </cfRule>
  </conditionalFormatting>
  <conditionalFormatting sqref="S73">
    <cfRule type="containsText" dxfId="142" priority="512" operator="containsText" text="Entregado">
      <formula>NOT(ISERROR(SEARCH("Entregado",S73)))</formula>
    </cfRule>
  </conditionalFormatting>
  <conditionalFormatting sqref="U73:V73">
    <cfRule type="dataBar" priority="5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{813719E9-CC86-4D99-BC30-0077CA5618ED}</x14:id>
        </ext>
      </extLst>
    </cfRule>
  </conditionalFormatting>
  <conditionalFormatting sqref="X73">
    <cfRule type="dataBar" priority="52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{3BF98514-86A1-4D1B-BD09-B950CB36CB1B}</x14:id>
        </ext>
      </extLst>
    </cfRule>
  </conditionalFormatting>
  <conditionalFormatting sqref="W73">
    <cfRule type="dataBar" priority="5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{3F9AF4B1-7E00-48F7-B81F-2B8521167398}</x14:id>
        </ext>
      </extLst>
    </cfRule>
  </conditionalFormatting>
  <conditionalFormatting sqref="T73">
    <cfRule type="dataBar" priority="5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{1DE070A1-2ABC-4AEE-A0F2-98C64B84CE3F}</x14:id>
        </ext>
      </extLst>
    </cfRule>
  </conditionalFormatting>
  <conditionalFormatting sqref="K73">
    <cfRule type="dataBar" priority="52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{00EAE45A-B430-4614-A44A-57CC29E85027}</x14:id>
        </ext>
      </extLst>
    </cfRule>
  </conditionalFormatting>
  <conditionalFormatting sqref="J73">
    <cfRule type="dataBar" priority="5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{CE5A56AA-1FE1-4D5F-BD8A-C1F6BB3C87B8}</x14:id>
        </ext>
      </extLst>
    </cfRule>
  </conditionalFormatting>
  <conditionalFormatting sqref="G73">
    <cfRule type="dataBar" priority="5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{A36B1D1E-4EF0-43B9-885D-7B3D9381ED9B}</x14:id>
        </ext>
      </extLst>
    </cfRule>
  </conditionalFormatting>
  <conditionalFormatting sqref="O73:R73">
    <cfRule type="dataBar" priority="5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{E2DA143B-7291-4549-A2ED-A5ABD28A8113}</x14:id>
        </ext>
      </extLst>
    </cfRule>
  </conditionalFormatting>
  <conditionalFormatting sqref="S74">
    <cfRule type="cellIs" dxfId="141" priority="501" operator="greaterThan">
      <formula>5</formula>
    </cfRule>
    <cfRule type="cellIs" dxfId="140" priority="502" operator="lessThan">
      <formula>0</formula>
    </cfRule>
  </conditionalFormatting>
  <conditionalFormatting sqref="S74">
    <cfRule type="containsText" dxfId="139" priority="500" operator="containsText" text="En Revisión">
      <formula>NOT(ISERROR(SEARCH("En Revisión",S74)))</formula>
    </cfRule>
  </conditionalFormatting>
  <conditionalFormatting sqref="S74">
    <cfRule type="containsText" dxfId="138" priority="498" operator="containsText" text="Entregado">
      <formula>NOT(ISERROR(SEARCH("Entregado",S74)))</formula>
    </cfRule>
    <cfRule type="containsText" dxfId="137" priority="499" operator="containsText" text="En Revisión">
      <formula>NOT(ISERROR(SEARCH("En Revisión",S74)))</formula>
    </cfRule>
  </conditionalFormatting>
  <conditionalFormatting sqref="S74">
    <cfRule type="cellIs" dxfId="136" priority="497" operator="between">
      <formula>0</formula>
      <formula>5</formula>
    </cfRule>
  </conditionalFormatting>
  <conditionalFormatting sqref="S74">
    <cfRule type="containsText" dxfId="135" priority="496" operator="containsText" text="En Revisión">
      <formula>NOT(ISERROR(SEARCH("En Revisión",S74)))</formula>
    </cfRule>
  </conditionalFormatting>
  <conditionalFormatting sqref="S74">
    <cfRule type="containsText" dxfId="134" priority="495" operator="containsText" text="Fuera de Plazo">
      <formula>NOT(ISERROR(SEARCH("Fuera de Plazo",S74)))</formula>
    </cfRule>
  </conditionalFormatting>
  <conditionalFormatting sqref="S74">
    <cfRule type="containsText" dxfId="133" priority="494" operator="containsText" text="Entregado">
      <formula>NOT(ISERROR(SEARCH("Entregado",S74)))</formula>
    </cfRule>
  </conditionalFormatting>
  <conditionalFormatting sqref="U74:V74">
    <cfRule type="dataBar" priority="5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{F0F48BE7-8FDC-469A-84A5-EFD1482B8AC5}</x14:id>
        </ext>
      </extLst>
    </cfRule>
  </conditionalFormatting>
  <conditionalFormatting sqref="X74">
    <cfRule type="dataBar" priority="50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{EA4433F8-2726-4776-88B1-AC5D01FAB9F3}</x14:id>
        </ext>
      </extLst>
    </cfRule>
  </conditionalFormatting>
  <conditionalFormatting sqref="W74">
    <cfRule type="dataBar" priority="50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{59A32617-4F95-4BA0-872D-DF7CC9F062C6}</x14:id>
        </ext>
      </extLst>
    </cfRule>
  </conditionalFormatting>
  <conditionalFormatting sqref="T74">
    <cfRule type="dataBar" priority="5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{55769C0F-6F64-4AD7-A6D6-B2285C85B03C}</x14:id>
        </ext>
      </extLst>
    </cfRule>
  </conditionalFormatting>
  <conditionalFormatting sqref="K74">
    <cfRule type="dataBar" priority="50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{07DF8DE4-508F-4F0D-AEDD-D56FB9E4F3E0}</x14:id>
        </ext>
      </extLst>
    </cfRule>
  </conditionalFormatting>
  <conditionalFormatting sqref="J74">
    <cfRule type="dataBar" priority="5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{2261B70F-888A-477E-9C80-017B1121C0E1}</x14:id>
        </ext>
      </extLst>
    </cfRule>
  </conditionalFormatting>
  <conditionalFormatting sqref="G74">
    <cfRule type="dataBar" priority="4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{F88A2F82-3C17-4EA0-8081-591C22FF9FC2}</x14:id>
        </ext>
      </extLst>
    </cfRule>
  </conditionalFormatting>
  <conditionalFormatting sqref="O74:R74">
    <cfRule type="dataBar" priority="4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{4386A643-C63A-4682-9AE2-B6637ED6A570}</x14:id>
        </ext>
      </extLst>
    </cfRule>
  </conditionalFormatting>
  <conditionalFormatting sqref="G77">
    <cfRule type="dataBar" priority="4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{3C6F961E-F1B3-4C26-84EE-891B07AE9F3B}</x14:id>
        </ext>
      </extLst>
    </cfRule>
  </conditionalFormatting>
  <conditionalFormatting sqref="S78:S80">
    <cfRule type="cellIs" dxfId="132" priority="482" operator="greaterThan">
      <formula>5</formula>
    </cfRule>
    <cfRule type="cellIs" dxfId="131" priority="483" operator="lessThan">
      <formula>0</formula>
    </cfRule>
  </conditionalFormatting>
  <conditionalFormatting sqref="S78:S80">
    <cfRule type="containsText" dxfId="130" priority="481" operator="containsText" text="En Revisión">
      <formula>NOT(ISERROR(SEARCH("En Revisión",S78)))</formula>
    </cfRule>
  </conditionalFormatting>
  <conditionalFormatting sqref="S78:S80">
    <cfRule type="containsText" dxfId="129" priority="479" operator="containsText" text="Entregado">
      <formula>NOT(ISERROR(SEARCH("Entregado",S78)))</formula>
    </cfRule>
    <cfRule type="containsText" dxfId="128" priority="480" operator="containsText" text="En Revisión">
      <formula>NOT(ISERROR(SEARCH("En Revisión",S78)))</formula>
    </cfRule>
  </conditionalFormatting>
  <conditionalFormatting sqref="S78:S80">
    <cfRule type="cellIs" dxfId="127" priority="478" operator="between">
      <formula>0</formula>
      <formula>5</formula>
    </cfRule>
  </conditionalFormatting>
  <conditionalFormatting sqref="S78:S80">
    <cfRule type="containsText" dxfId="126" priority="477" operator="containsText" text="En Revisión">
      <formula>NOT(ISERROR(SEARCH("En Revisión",S78)))</formula>
    </cfRule>
  </conditionalFormatting>
  <conditionalFormatting sqref="S78:S80">
    <cfRule type="containsText" dxfId="125" priority="476" operator="containsText" text="Fuera de Plazo">
      <formula>NOT(ISERROR(SEARCH("Fuera de Plazo",S78)))</formula>
    </cfRule>
  </conditionalFormatting>
  <conditionalFormatting sqref="S78:S80">
    <cfRule type="containsText" dxfId="124" priority="475" operator="containsText" text="Entregado">
      <formula>NOT(ISERROR(SEARCH("Entregado",S78)))</formula>
    </cfRule>
  </conditionalFormatting>
  <conditionalFormatting sqref="U78:V80">
    <cfRule type="dataBar" priority="4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{9765F362-3850-4857-9DEF-400BFCF9DF46}</x14:id>
        </ext>
      </extLst>
    </cfRule>
  </conditionalFormatting>
  <conditionalFormatting sqref="X78:X80">
    <cfRule type="dataBar" priority="48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{A0B0D22B-EBB8-4304-9FC2-BFEA504E9B17}</x14:id>
        </ext>
      </extLst>
    </cfRule>
  </conditionalFormatting>
  <conditionalFormatting sqref="W78:W80">
    <cfRule type="dataBar" priority="4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{2B591018-C1CB-426F-976F-EC83177BE7E8}</x14:id>
        </ext>
      </extLst>
    </cfRule>
  </conditionalFormatting>
  <conditionalFormatting sqref="T78:T80">
    <cfRule type="dataBar" priority="4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{D0035FDA-EEB6-4AB1-9F08-92B4B7738C9C}</x14:id>
        </ext>
      </extLst>
    </cfRule>
  </conditionalFormatting>
  <conditionalFormatting sqref="K78:K80">
    <cfRule type="dataBar" priority="48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{9372240B-DE1D-4876-AAB3-2C51278187DA}</x14:id>
        </ext>
      </extLst>
    </cfRule>
  </conditionalFormatting>
  <conditionalFormatting sqref="J78:J80">
    <cfRule type="dataBar" priority="4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{9922EA54-E751-4827-BCEF-99FE3ABA42AC}</x14:id>
        </ext>
      </extLst>
    </cfRule>
  </conditionalFormatting>
  <conditionalFormatting sqref="G78:G80">
    <cfRule type="dataBar" priority="4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{C661401C-34B4-47A1-A7F1-301AF1228B9B}</x14:id>
        </ext>
      </extLst>
    </cfRule>
  </conditionalFormatting>
  <conditionalFormatting sqref="S81">
    <cfRule type="cellIs" dxfId="123" priority="465" operator="greaterThan">
      <formula>5</formula>
    </cfRule>
    <cfRule type="cellIs" dxfId="122" priority="466" operator="lessThan">
      <formula>0</formula>
    </cfRule>
  </conditionalFormatting>
  <conditionalFormatting sqref="S81">
    <cfRule type="containsText" dxfId="121" priority="464" operator="containsText" text="En Revisión">
      <formula>NOT(ISERROR(SEARCH("En Revisión",S81)))</formula>
    </cfRule>
  </conditionalFormatting>
  <conditionalFormatting sqref="S81">
    <cfRule type="containsText" dxfId="120" priority="462" operator="containsText" text="Entregado">
      <formula>NOT(ISERROR(SEARCH("Entregado",S81)))</formula>
    </cfRule>
    <cfRule type="containsText" dxfId="119" priority="463" operator="containsText" text="En Revisión">
      <formula>NOT(ISERROR(SEARCH("En Revisión",S81)))</formula>
    </cfRule>
  </conditionalFormatting>
  <conditionalFormatting sqref="S81">
    <cfRule type="cellIs" dxfId="118" priority="461" operator="between">
      <formula>0</formula>
      <formula>5</formula>
    </cfRule>
  </conditionalFormatting>
  <conditionalFormatting sqref="S81">
    <cfRule type="containsText" dxfId="117" priority="460" operator="containsText" text="En Revisión">
      <formula>NOT(ISERROR(SEARCH("En Revisión",S81)))</formula>
    </cfRule>
  </conditionalFormatting>
  <conditionalFormatting sqref="S81">
    <cfRule type="containsText" dxfId="116" priority="459" operator="containsText" text="Fuera de Plazo">
      <formula>NOT(ISERROR(SEARCH("Fuera de Plazo",S81)))</formula>
    </cfRule>
  </conditionalFormatting>
  <conditionalFormatting sqref="S81">
    <cfRule type="containsText" dxfId="115" priority="458" operator="containsText" text="Entregado">
      <formula>NOT(ISERROR(SEARCH("Entregado",S81)))</formula>
    </cfRule>
  </conditionalFormatting>
  <conditionalFormatting sqref="U81:V81">
    <cfRule type="dataBar" priority="4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{6031D697-3604-48E6-AF4E-85061AE56E04}</x14:id>
        </ext>
      </extLst>
    </cfRule>
  </conditionalFormatting>
  <conditionalFormatting sqref="X81">
    <cfRule type="dataBar" priority="46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{B62FBBC3-5AAD-4D06-9363-B99BFAFC060B}</x14:id>
        </ext>
      </extLst>
    </cfRule>
  </conditionalFormatting>
  <conditionalFormatting sqref="W81">
    <cfRule type="dataBar" priority="4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{C0CAC1F8-61F1-44EF-BA59-125CF681F485}</x14:id>
        </ext>
      </extLst>
    </cfRule>
  </conditionalFormatting>
  <conditionalFormatting sqref="T81">
    <cfRule type="dataBar" priority="4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{51DBDE0C-EA23-44ED-9CFE-41443FCD7429}</x14:id>
        </ext>
      </extLst>
    </cfRule>
  </conditionalFormatting>
  <conditionalFormatting sqref="K81">
    <cfRule type="dataBar" priority="47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{DC0133E2-54C0-4ACC-821C-352EC01F073C}</x14:id>
        </ext>
      </extLst>
    </cfRule>
  </conditionalFormatting>
  <conditionalFormatting sqref="J81">
    <cfRule type="dataBar" priority="4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{9DF874A7-F5EF-4BA5-857A-342898DF6C14}</x14:id>
        </ext>
      </extLst>
    </cfRule>
  </conditionalFormatting>
  <conditionalFormatting sqref="G81">
    <cfRule type="dataBar" priority="4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{80FAEAFF-B9BD-44ED-9CC9-1B06A7FFC92C}</x14:id>
        </ext>
      </extLst>
    </cfRule>
  </conditionalFormatting>
  <conditionalFormatting sqref="S82">
    <cfRule type="cellIs" dxfId="114" priority="448" operator="greaterThan">
      <formula>5</formula>
    </cfRule>
    <cfRule type="cellIs" dxfId="113" priority="449" operator="lessThan">
      <formula>0</formula>
    </cfRule>
  </conditionalFormatting>
  <conditionalFormatting sqref="S82">
    <cfRule type="containsText" dxfId="112" priority="447" operator="containsText" text="En Revisión">
      <formula>NOT(ISERROR(SEARCH("En Revisión",S82)))</formula>
    </cfRule>
  </conditionalFormatting>
  <conditionalFormatting sqref="S82">
    <cfRule type="containsText" dxfId="111" priority="445" operator="containsText" text="Entregado">
      <formula>NOT(ISERROR(SEARCH("Entregado",S82)))</formula>
    </cfRule>
    <cfRule type="containsText" dxfId="110" priority="446" operator="containsText" text="En Revisión">
      <formula>NOT(ISERROR(SEARCH("En Revisión",S82)))</formula>
    </cfRule>
  </conditionalFormatting>
  <conditionalFormatting sqref="S82">
    <cfRule type="cellIs" dxfId="109" priority="444" operator="between">
      <formula>0</formula>
      <formula>5</formula>
    </cfRule>
  </conditionalFormatting>
  <conditionalFormatting sqref="S82">
    <cfRule type="containsText" dxfId="108" priority="443" operator="containsText" text="En Revisión">
      <formula>NOT(ISERROR(SEARCH("En Revisión",S82)))</formula>
    </cfRule>
  </conditionalFormatting>
  <conditionalFormatting sqref="S82">
    <cfRule type="containsText" dxfId="107" priority="442" operator="containsText" text="Fuera de Plazo">
      <formula>NOT(ISERROR(SEARCH("Fuera de Plazo",S82)))</formula>
    </cfRule>
  </conditionalFormatting>
  <conditionalFormatting sqref="S82">
    <cfRule type="containsText" dxfId="106" priority="441" operator="containsText" text="Entregado">
      <formula>NOT(ISERROR(SEARCH("Entregado",S82)))</formula>
    </cfRule>
  </conditionalFormatting>
  <conditionalFormatting sqref="U82:V82">
    <cfRule type="dataBar" priority="4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{19EFE3DB-E7DE-4216-AF56-CA0F4D8C4578}</x14:id>
        </ext>
      </extLst>
    </cfRule>
  </conditionalFormatting>
  <conditionalFormatting sqref="X82">
    <cfRule type="dataBar" priority="45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{BD2DEA8D-146E-4D2D-95CA-3DF484BD1ECF}</x14:id>
        </ext>
      </extLst>
    </cfRule>
  </conditionalFormatting>
  <conditionalFormatting sqref="W82">
    <cfRule type="dataBar" priority="4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{37503893-B92B-4552-9FCF-A6C404C7C577}</x14:id>
        </ext>
      </extLst>
    </cfRule>
  </conditionalFormatting>
  <conditionalFormatting sqref="T82">
    <cfRule type="dataBar" priority="4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{AD0B2245-26AF-45BA-A741-9C9F615DC9C1}</x14:id>
        </ext>
      </extLst>
    </cfRule>
  </conditionalFormatting>
  <conditionalFormatting sqref="K82">
    <cfRule type="dataBar" priority="45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{F9D5A097-556E-4B26-85AC-5F0871BACE4B}</x14:id>
        </ext>
      </extLst>
    </cfRule>
  </conditionalFormatting>
  <conditionalFormatting sqref="J82">
    <cfRule type="dataBar" priority="4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{66F664D1-0DF7-4785-886F-43791252EE02}</x14:id>
        </ext>
      </extLst>
    </cfRule>
  </conditionalFormatting>
  <conditionalFormatting sqref="G82">
    <cfRule type="dataBar" priority="4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{235935BE-3DF9-4B77-A582-DE24ECE80CBA}</x14:id>
        </ext>
      </extLst>
    </cfRule>
  </conditionalFormatting>
  <conditionalFormatting sqref="S83">
    <cfRule type="cellIs" dxfId="105" priority="431" operator="greaterThan">
      <formula>5</formula>
    </cfRule>
    <cfRule type="cellIs" dxfId="104" priority="432" operator="lessThan">
      <formula>0</formula>
    </cfRule>
  </conditionalFormatting>
  <conditionalFormatting sqref="S83">
    <cfRule type="containsText" dxfId="103" priority="430" operator="containsText" text="En Revisión">
      <formula>NOT(ISERROR(SEARCH("En Revisión",S83)))</formula>
    </cfRule>
  </conditionalFormatting>
  <conditionalFormatting sqref="S83">
    <cfRule type="containsText" dxfId="102" priority="428" operator="containsText" text="Entregado">
      <formula>NOT(ISERROR(SEARCH("Entregado",S83)))</formula>
    </cfRule>
    <cfRule type="containsText" dxfId="101" priority="429" operator="containsText" text="En Revisión">
      <formula>NOT(ISERROR(SEARCH("En Revisión",S83)))</formula>
    </cfRule>
  </conditionalFormatting>
  <conditionalFormatting sqref="S83">
    <cfRule type="cellIs" dxfId="100" priority="427" operator="between">
      <formula>0</formula>
      <formula>5</formula>
    </cfRule>
  </conditionalFormatting>
  <conditionalFormatting sqref="S83">
    <cfRule type="containsText" dxfId="99" priority="426" operator="containsText" text="En Revisión">
      <formula>NOT(ISERROR(SEARCH("En Revisión",S83)))</formula>
    </cfRule>
  </conditionalFormatting>
  <conditionalFormatting sqref="S83">
    <cfRule type="containsText" dxfId="98" priority="425" operator="containsText" text="Fuera de Plazo">
      <formula>NOT(ISERROR(SEARCH("Fuera de Plazo",S83)))</formula>
    </cfRule>
  </conditionalFormatting>
  <conditionalFormatting sqref="S83">
    <cfRule type="containsText" dxfId="97" priority="424" operator="containsText" text="Entregado">
      <formula>NOT(ISERROR(SEARCH("Entregado",S83)))</formula>
    </cfRule>
  </conditionalFormatting>
  <conditionalFormatting sqref="U83:V83">
    <cfRule type="dataBar" priority="4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{194A5668-38B7-4F47-92A7-8AECC60DACD1}</x14:id>
        </ext>
      </extLst>
    </cfRule>
  </conditionalFormatting>
  <conditionalFormatting sqref="X83">
    <cfRule type="dataBar" priority="43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{6DF1274F-D930-479E-AE5D-74CC2011915A}</x14:id>
        </ext>
      </extLst>
    </cfRule>
  </conditionalFormatting>
  <conditionalFormatting sqref="W83">
    <cfRule type="dataBar" priority="4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{023B8306-2F2D-44A7-82F8-ECF06A1EE92A}</x14:id>
        </ext>
      </extLst>
    </cfRule>
  </conditionalFormatting>
  <conditionalFormatting sqref="T83">
    <cfRule type="dataBar" priority="4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{13D66151-20BC-4566-9A91-B0497B85EE21}</x14:id>
        </ext>
      </extLst>
    </cfRule>
  </conditionalFormatting>
  <conditionalFormatting sqref="K83">
    <cfRule type="dataBar" priority="43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{06982BA5-F875-4791-89ED-0D0C152A6D16}</x14:id>
        </ext>
      </extLst>
    </cfRule>
  </conditionalFormatting>
  <conditionalFormatting sqref="J83">
    <cfRule type="dataBar" priority="4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{31519A67-EA37-4FCB-AE4C-ACE94FBA61CC}</x14:id>
        </ext>
      </extLst>
    </cfRule>
  </conditionalFormatting>
  <conditionalFormatting sqref="G83">
    <cfRule type="dataBar" priority="4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{FADEA024-36D0-495B-BCFA-5FD643B5420C}</x14:id>
        </ext>
      </extLst>
    </cfRule>
  </conditionalFormatting>
  <conditionalFormatting sqref="U113:V117">
    <cfRule type="dataBar" priority="9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{B49C238C-58B4-40D5-AB34-64B00B3CD127}</x14:id>
        </ext>
      </extLst>
    </cfRule>
  </conditionalFormatting>
  <conditionalFormatting sqref="X113:X117">
    <cfRule type="dataBar" priority="99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{82D8DE21-FEE5-4A60-990F-E0BE4170DF67}</x14:id>
        </ext>
      </extLst>
    </cfRule>
  </conditionalFormatting>
  <conditionalFormatting sqref="W113:W117">
    <cfRule type="dataBar" priority="9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{DC01C2BE-F436-48A7-9CEC-6260D91CAA2D}</x14:id>
        </ext>
      </extLst>
    </cfRule>
  </conditionalFormatting>
  <conditionalFormatting sqref="T113:T117">
    <cfRule type="dataBar" priority="9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{705FF53A-92F6-4F29-B473-0878867051AD}</x14:id>
        </ext>
      </extLst>
    </cfRule>
  </conditionalFormatting>
  <conditionalFormatting sqref="K113:K117">
    <cfRule type="dataBar" priority="100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{A3FC8FF1-56DD-4337-B4C7-E7708775F2E5}</x14:id>
        </ext>
      </extLst>
    </cfRule>
  </conditionalFormatting>
  <conditionalFormatting sqref="J113:J117">
    <cfRule type="dataBar" priority="10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{6EFAB747-322A-474A-B726-1369DE338FCE}</x14:id>
        </ext>
      </extLst>
    </cfRule>
  </conditionalFormatting>
  <conditionalFormatting sqref="U85:V91">
    <cfRule type="dataBar" priority="10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{5108E02D-D675-4494-BF3A-71FCAE5DB5EE}</x14:id>
        </ext>
      </extLst>
    </cfRule>
  </conditionalFormatting>
  <conditionalFormatting sqref="X85:X91">
    <cfRule type="dataBar" priority="109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{2D1B0983-7629-48D1-B743-6FAE28782E68}</x14:id>
        </ext>
      </extLst>
    </cfRule>
  </conditionalFormatting>
  <conditionalFormatting sqref="W85:W91">
    <cfRule type="dataBar" priority="10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{E74368CC-C1FE-445E-8D5C-D95F49229D7A}</x14:id>
        </ext>
      </extLst>
    </cfRule>
  </conditionalFormatting>
  <conditionalFormatting sqref="T85:T91">
    <cfRule type="dataBar" priority="11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{27FD90B0-B0AD-4C94-AC3E-59BEEBB7ADB8}</x14:id>
        </ext>
      </extLst>
    </cfRule>
  </conditionalFormatting>
  <conditionalFormatting sqref="K85:K91">
    <cfRule type="dataBar" priority="110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{E1782B17-8CFE-4F0E-92F8-F464F4237BA4}</x14:id>
        </ext>
      </extLst>
    </cfRule>
  </conditionalFormatting>
  <conditionalFormatting sqref="J85:J91">
    <cfRule type="dataBar" priority="11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{BD884B67-D340-4CB5-A28B-EA96DD3C3539}</x14:id>
        </ext>
      </extLst>
    </cfRule>
  </conditionalFormatting>
  <conditionalFormatting sqref="S92:S93">
    <cfRule type="cellIs" dxfId="96" priority="360" operator="greaterThan">
      <formula>5</formula>
    </cfRule>
    <cfRule type="cellIs" dxfId="95" priority="361" operator="lessThan">
      <formula>0</formula>
    </cfRule>
  </conditionalFormatting>
  <conditionalFormatting sqref="S92:S93">
    <cfRule type="containsText" dxfId="94" priority="359" operator="containsText" text="En Revisión">
      <formula>NOT(ISERROR(SEARCH("En Revisión",S92)))</formula>
    </cfRule>
  </conditionalFormatting>
  <conditionalFormatting sqref="S92:S93">
    <cfRule type="containsText" dxfId="93" priority="357" operator="containsText" text="Entregado">
      <formula>NOT(ISERROR(SEARCH("Entregado",S92)))</formula>
    </cfRule>
    <cfRule type="containsText" dxfId="92" priority="358" operator="containsText" text="En Revisión">
      <formula>NOT(ISERROR(SEARCH("En Revisión",S92)))</formula>
    </cfRule>
  </conditionalFormatting>
  <conditionalFormatting sqref="S92:S93">
    <cfRule type="cellIs" dxfId="91" priority="356" operator="between">
      <formula>0</formula>
      <formula>5</formula>
    </cfRule>
  </conditionalFormatting>
  <conditionalFormatting sqref="S92:S93">
    <cfRule type="containsText" dxfId="90" priority="355" operator="containsText" text="Fuera de Plazo">
      <formula>NOT(ISERROR(SEARCH("Fuera de Plazo",S92)))</formula>
    </cfRule>
  </conditionalFormatting>
  <conditionalFormatting sqref="S92:S93">
    <cfRule type="containsText" dxfId="89" priority="354" operator="containsText" text="Entregado">
      <formula>NOT(ISERROR(SEARCH("Entregado",S92)))</formula>
    </cfRule>
  </conditionalFormatting>
  <conditionalFormatting sqref="U92:V93">
    <cfRule type="dataBar" priority="3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{9D936A24-24B1-474F-934F-A447D11983D3}</x14:id>
        </ext>
      </extLst>
    </cfRule>
  </conditionalFormatting>
  <conditionalFormatting sqref="X92:X93">
    <cfRule type="dataBar" priority="36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{E85193B6-7B07-4123-B79B-26D2E5E60B7D}</x14:id>
        </ext>
      </extLst>
    </cfRule>
  </conditionalFormatting>
  <conditionalFormatting sqref="W92:W93">
    <cfRule type="dataBar" priority="3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{8E3B8EC9-2FE8-4647-8D84-A45C22ABFEE2}</x14:id>
        </ext>
      </extLst>
    </cfRule>
  </conditionalFormatting>
  <conditionalFormatting sqref="S94:S95">
    <cfRule type="cellIs" dxfId="88" priority="345" operator="greaterThan">
      <formula>5</formula>
    </cfRule>
    <cfRule type="cellIs" dxfId="87" priority="346" operator="lessThan">
      <formula>0</formula>
    </cfRule>
  </conditionalFormatting>
  <conditionalFormatting sqref="S94:S95">
    <cfRule type="containsText" dxfId="86" priority="344" operator="containsText" text="En Revisión">
      <formula>NOT(ISERROR(SEARCH("En Revisión",S94)))</formula>
    </cfRule>
  </conditionalFormatting>
  <conditionalFormatting sqref="S94:S95">
    <cfRule type="containsText" dxfId="85" priority="342" operator="containsText" text="Entregado">
      <formula>NOT(ISERROR(SEARCH("Entregado",S94)))</formula>
    </cfRule>
    <cfRule type="containsText" dxfId="84" priority="343" operator="containsText" text="En Revisión">
      <formula>NOT(ISERROR(SEARCH("En Revisión",S94)))</formula>
    </cfRule>
  </conditionalFormatting>
  <conditionalFormatting sqref="S94:S95">
    <cfRule type="cellIs" dxfId="83" priority="341" operator="between">
      <formula>0</formula>
      <formula>5</formula>
    </cfRule>
  </conditionalFormatting>
  <conditionalFormatting sqref="S94:S95">
    <cfRule type="containsText" dxfId="82" priority="340" operator="containsText" text="Fuera de Plazo">
      <formula>NOT(ISERROR(SEARCH("Fuera de Plazo",S94)))</formula>
    </cfRule>
  </conditionalFormatting>
  <conditionalFormatting sqref="S94:S95">
    <cfRule type="containsText" dxfId="81" priority="339" operator="containsText" text="Entregado">
      <formula>NOT(ISERROR(SEARCH("Entregado",S94)))</formula>
    </cfRule>
  </conditionalFormatting>
  <conditionalFormatting sqref="U94:V95">
    <cfRule type="dataBar" priority="3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{04C72A32-0080-4810-989F-C7E0FB39CDE6}</x14:id>
        </ext>
      </extLst>
    </cfRule>
  </conditionalFormatting>
  <conditionalFormatting sqref="X94:X95">
    <cfRule type="dataBar" priority="34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{A479EE9E-92C3-490E-B7A3-EE73F46FD6BB}</x14:id>
        </ext>
      </extLst>
    </cfRule>
  </conditionalFormatting>
  <conditionalFormatting sqref="W94:W95">
    <cfRule type="dataBar" priority="3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{EF15D60F-64FD-4EFE-B6EB-2169963D9632}</x14:id>
        </ext>
      </extLst>
    </cfRule>
  </conditionalFormatting>
  <conditionalFormatting sqref="T94:T95">
    <cfRule type="dataBar" priority="3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{7DCF657E-E5CE-4728-B29D-822815CCFB07}</x14:id>
        </ext>
      </extLst>
    </cfRule>
  </conditionalFormatting>
  <conditionalFormatting sqref="K94:K95">
    <cfRule type="dataBar" priority="35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{9215BA4E-A47E-409E-AC8B-0D36860FBA2C}</x14:id>
        </ext>
      </extLst>
    </cfRule>
  </conditionalFormatting>
  <conditionalFormatting sqref="J94:J95">
    <cfRule type="dataBar" priority="3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{17C4B26E-BCBB-483E-B3F5-788B83AFB295}</x14:id>
        </ext>
      </extLst>
    </cfRule>
  </conditionalFormatting>
  <conditionalFormatting sqref="T92:T93 J92:K93">
    <cfRule type="dataBar" priority="3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{FDBB3647-7252-4DC1-88C9-3B607A891B93}</x14:id>
        </ext>
      </extLst>
    </cfRule>
  </conditionalFormatting>
  <conditionalFormatting sqref="T92:T93">
    <cfRule type="dataBar" priority="3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{70E69E2A-CCEE-4944-91D9-F3DAFF5A9FE0}</x14:id>
        </ext>
      </extLst>
    </cfRule>
  </conditionalFormatting>
  <conditionalFormatting sqref="K92:K93">
    <cfRule type="dataBar" priority="33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{B497D3F8-E4A2-44D7-A6CC-A2FCB3BCC44B}</x14:id>
        </ext>
      </extLst>
    </cfRule>
  </conditionalFormatting>
  <conditionalFormatting sqref="J92:J93">
    <cfRule type="dataBar" priority="3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{59FE3844-2BEA-4A5D-85B4-14D6F6575E65}</x14:id>
        </ext>
      </extLst>
    </cfRule>
  </conditionalFormatting>
  <conditionalFormatting sqref="S97:S101">
    <cfRule type="cellIs" dxfId="80" priority="325" operator="greaterThan">
      <formula>5</formula>
    </cfRule>
    <cfRule type="cellIs" dxfId="79" priority="326" operator="lessThan">
      <formula>0</formula>
    </cfRule>
  </conditionalFormatting>
  <conditionalFormatting sqref="S97:S101">
    <cfRule type="containsText" dxfId="78" priority="324" operator="containsText" text="En Revisión">
      <formula>NOT(ISERROR(SEARCH("En Revisión",S97)))</formula>
    </cfRule>
  </conditionalFormatting>
  <conditionalFormatting sqref="S97:S101">
    <cfRule type="containsText" dxfId="77" priority="322" operator="containsText" text="Entregado">
      <formula>NOT(ISERROR(SEARCH("Entregado",S97)))</formula>
    </cfRule>
    <cfRule type="containsText" dxfId="76" priority="323" operator="containsText" text="En Revisión">
      <formula>NOT(ISERROR(SEARCH("En Revisión",S97)))</formula>
    </cfRule>
  </conditionalFormatting>
  <conditionalFormatting sqref="S97:S101">
    <cfRule type="cellIs" dxfId="75" priority="321" operator="between">
      <formula>0</formula>
      <formula>5</formula>
    </cfRule>
  </conditionalFormatting>
  <conditionalFormatting sqref="S97:S101">
    <cfRule type="containsText" dxfId="74" priority="320" operator="containsText" text="En Revisión">
      <formula>NOT(ISERROR(SEARCH("En Revisión",S97)))</formula>
    </cfRule>
  </conditionalFormatting>
  <conditionalFormatting sqref="S97:S101">
    <cfRule type="containsText" dxfId="73" priority="319" operator="containsText" text="Fuera de Plazo">
      <formula>NOT(ISERROR(SEARCH("Fuera de Plazo",S97)))</formula>
    </cfRule>
  </conditionalFormatting>
  <conditionalFormatting sqref="S97:S101">
    <cfRule type="containsText" dxfId="72" priority="318" operator="containsText" text="Entregado">
      <formula>NOT(ISERROR(SEARCH("Entregado",S97)))</formula>
    </cfRule>
  </conditionalFormatting>
  <conditionalFormatting sqref="U97:V101">
    <cfRule type="dataBar" priority="11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{A72E9396-6D85-4D74-AF3E-7AA4E6CC25C4}</x14:id>
        </ext>
      </extLst>
    </cfRule>
  </conditionalFormatting>
  <conditionalFormatting sqref="X97:X101">
    <cfRule type="dataBar" priority="119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{B77928C1-1AE3-454D-8335-70160D411846}</x14:id>
        </ext>
      </extLst>
    </cfRule>
  </conditionalFormatting>
  <conditionalFormatting sqref="W97:W101">
    <cfRule type="dataBar" priority="11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{0B721C77-1CA3-4468-BABC-0CFED971F997}</x14:id>
        </ext>
      </extLst>
    </cfRule>
  </conditionalFormatting>
  <conditionalFormatting sqref="T97:T101">
    <cfRule type="dataBar" priority="11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{6364EC78-AE0A-42F7-86A4-91E7AA2FE2EB}</x14:id>
        </ext>
      </extLst>
    </cfRule>
  </conditionalFormatting>
  <conditionalFormatting sqref="K97:K101">
    <cfRule type="dataBar" priority="119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{C4AEA15C-D49F-4512-8C25-121F8092DFDC}</x14:id>
        </ext>
      </extLst>
    </cfRule>
  </conditionalFormatting>
  <conditionalFormatting sqref="J97:J101">
    <cfRule type="dataBar" priority="11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{CF6CDD4D-88B9-4F0A-B680-A7A4E7A991F9}</x14:id>
        </ext>
      </extLst>
    </cfRule>
  </conditionalFormatting>
  <conditionalFormatting sqref="S110">
    <cfRule type="cellIs" dxfId="71" priority="309" operator="greaterThan">
      <formula>5</formula>
    </cfRule>
    <cfRule type="cellIs" dxfId="70" priority="310" operator="lessThan">
      <formula>0</formula>
    </cfRule>
  </conditionalFormatting>
  <conditionalFormatting sqref="S110">
    <cfRule type="containsText" dxfId="69" priority="308" operator="containsText" text="En Revisión">
      <formula>NOT(ISERROR(SEARCH("En Revisión",S110)))</formula>
    </cfRule>
  </conditionalFormatting>
  <conditionalFormatting sqref="S110">
    <cfRule type="containsText" dxfId="68" priority="306" operator="containsText" text="Entregado">
      <formula>NOT(ISERROR(SEARCH("Entregado",S110)))</formula>
    </cfRule>
    <cfRule type="containsText" dxfId="67" priority="307" operator="containsText" text="En Revisión">
      <formula>NOT(ISERROR(SEARCH("En Revisión",S110)))</formula>
    </cfRule>
  </conditionalFormatting>
  <conditionalFormatting sqref="S110">
    <cfRule type="cellIs" dxfId="66" priority="305" operator="between">
      <formula>0</formula>
      <formula>5</formula>
    </cfRule>
  </conditionalFormatting>
  <conditionalFormatting sqref="S110">
    <cfRule type="containsText" dxfId="65" priority="304" operator="containsText" text="En Revisión">
      <formula>NOT(ISERROR(SEARCH("En Revisión",S110)))</formula>
    </cfRule>
  </conditionalFormatting>
  <conditionalFormatting sqref="S110">
    <cfRule type="containsText" dxfId="64" priority="303" operator="containsText" text="Fuera de Plazo">
      <formula>NOT(ISERROR(SEARCH("Fuera de Plazo",S110)))</formula>
    </cfRule>
  </conditionalFormatting>
  <conditionalFormatting sqref="S110">
    <cfRule type="containsText" dxfId="63" priority="302" operator="containsText" text="Entregado">
      <formula>NOT(ISERROR(SEARCH("Entregado",S110)))</formula>
    </cfRule>
  </conditionalFormatting>
  <conditionalFormatting sqref="U110:V110">
    <cfRule type="dataBar" priority="3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{4C5A161E-AD02-40A8-9741-6A152371FE9B}</x14:id>
        </ext>
      </extLst>
    </cfRule>
  </conditionalFormatting>
  <conditionalFormatting sqref="X110">
    <cfRule type="dataBar" priority="31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{36411C74-5E15-42AA-B948-E69C23C4E315}</x14:id>
        </ext>
      </extLst>
    </cfRule>
  </conditionalFormatting>
  <conditionalFormatting sqref="W110">
    <cfRule type="dataBar" priority="3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{2080C98F-CB18-478E-8C0A-199285DFA90E}</x14:id>
        </ext>
      </extLst>
    </cfRule>
  </conditionalFormatting>
  <conditionalFormatting sqref="T110">
    <cfRule type="dataBar" priority="3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{0A7F601E-F427-40AF-92D0-42C5852058BF}</x14:id>
        </ext>
      </extLst>
    </cfRule>
  </conditionalFormatting>
  <conditionalFormatting sqref="K110">
    <cfRule type="dataBar" priority="3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{D7C9A001-BE6D-469A-9DB3-9D591A787B03}</x14:id>
        </ext>
      </extLst>
    </cfRule>
  </conditionalFormatting>
  <conditionalFormatting sqref="J110">
    <cfRule type="dataBar" priority="3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{05E5068A-D262-404C-B341-DE2251F65CB6}</x14:id>
        </ext>
      </extLst>
    </cfRule>
  </conditionalFormatting>
  <conditionalFormatting sqref="S111">
    <cfRule type="containsText" dxfId="62" priority="286" operator="containsText" text="Entregado">
      <formula>NOT(ISERROR(SEARCH("Entregado",S111)))</formula>
    </cfRule>
  </conditionalFormatting>
  <conditionalFormatting sqref="S111">
    <cfRule type="cellIs" dxfId="61" priority="293" operator="greaterThan">
      <formula>5</formula>
    </cfRule>
    <cfRule type="cellIs" dxfId="60" priority="294" operator="lessThan">
      <formula>0</formula>
    </cfRule>
  </conditionalFormatting>
  <conditionalFormatting sqref="S111">
    <cfRule type="containsText" dxfId="59" priority="292" operator="containsText" text="En Revisión">
      <formula>NOT(ISERROR(SEARCH("En Revisión",S111)))</formula>
    </cfRule>
  </conditionalFormatting>
  <conditionalFormatting sqref="S111">
    <cfRule type="containsText" dxfId="58" priority="290" operator="containsText" text="Entregado">
      <formula>NOT(ISERROR(SEARCH("Entregado",S111)))</formula>
    </cfRule>
    <cfRule type="containsText" dxfId="57" priority="291" operator="containsText" text="En Revisión">
      <formula>NOT(ISERROR(SEARCH("En Revisión",S111)))</formula>
    </cfRule>
  </conditionalFormatting>
  <conditionalFormatting sqref="S111">
    <cfRule type="cellIs" dxfId="56" priority="289" operator="between">
      <formula>0</formula>
      <formula>5</formula>
    </cfRule>
  </conditionalFormatting>
  <conditionalFormatting sqref="S111">
    <cfRule type="containsText" dxfId="55" priority="288" operator="containsText" text="En Revisión">
      <formula>NOT(ISERROR(SEARCH("En Revisión",S111)))</formula>
    </cfRule>
  </conditionalFormatting>
  <conditionalFormatting sqref="S111">
    <cfRule type="containsText" dxfId="54" priority="287" operator="containsText" text="Fuera de Plazo">
      <formula>NOT(ISERROR(SEARCH("Fuera de Plazo",S111)))</formula>
    </cfRule>
  </conditionalFormatting>
  <conditionalFormatting sqref="U111:V111">
    <cfRule type="dataBar" priority="12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{47CEAEEB-00C3-44CE-A472-DDCA1420114A}</x14:id>
        </ext>
      </extLst>
    </cfRule>
  </conditionalFormatting>
  <conditionalFormatting sqref="X111">
    <cfRule type="dataBar" priority="129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{F3B47E7A-9982-481E-9503-81FE0526739B}</x14:id>
        </ext>
      </extLst>
    </cfRule>
  </conditionalFormatting>
  <conditionalFormatting sqref="W111">
    <cfRule type="dataBar" priority="12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{61CCED51-7F5B-48F9-ADE9-CBB561A51DA2}</x14:id>
        </ext>
      </extLst>
    </cfRule>
  </conditionalFormatting>
  <conditionalFormatting sqref="T111">
    <cfRule type="dataBar" priority="12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{0DB09DFB-BD3F-4579-A36B-95692C29CC98}</x14:id>
        </ext>
      </extLst>
    </cfRule>
  </conditionalFormatting>
  <conditionalFormatting sqref="K111">
    <cfRule type="dataBar" priority="129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{BC6435D8-6989-4455-A67A-CD797B205C56}</x14:id>
        </ext>
      </extLst>
    </cfRule>
  </conditionalFormatting>
  <conditionalFormatting sqref="J111">
    <cfRule type="dataBar" priority="12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{BA0EEF54-6578-4267-8BB7-0D74DFBD020A}</x14:id>
        </ext>
      </extLst>
    </cfRule>
  </conditionalFormatting>
  <conditionalFormatting sqref="S103">
    <cfRule type="cellIs" dxfId="53" priority="277" operator="greaterThan">
      <formula>5</formula>
    </cfRule>
    <cfRule type="cellIs" dxfId="52" priority="278" operator="lessThan">
      <formula>0</formula>
    </cfRule>
  </conditionalFormatting>
  <conditionalFormatting sqref="S103">
    <cfRule type="containsText" dxfId="51" priority="276" operator="containsText" text="En Revisión">
      <formula>NOT(ISERROR(SEARCH("En Revisión",S103)))</formula>
    </cfRule>
  </conditionalFormatting>
  <conditionalFormatting sqref="S103">
    <cfRule type="containsText" dxfId="50" priority="274" operator="containsText" text="Entregado">
      <formula>NOT(ISERROR(SEARCH("Entregado",S103)))</formula>
    </cfRule>
    <cfRule type="containsText" dxfId="49" priority="275" operator="containsText" text="En Revisión">
      <formula>NOT(ISERROR(SEARCH("En Revisión",S103)))</formula>
    </cfRule>
  </conditionalFormatting>
  <conditionalFormatting sqref="S103">
    <cfRule type="cellIs" dxfId="48" priority="273" operator="between">
      <formula>0</formula>
      <formula>5</formula>
    </cfRule>
  </conditionalFormatting>
  <conditionalFormatting sqref="S103">
    <cfRule type="containsText" dxfId="47" priority="272" operator="containsText" text="En Revisión">
      <formula>NOT(ISERROR(SEARCH("En Revisión",S103)))</formula>
    </cfRule>
  </conditionalFormatting>
  <conditionalFormatting sqref="S103">
    <cfRule type="containsText" dxfId="46" priority="271" operator="containsText" text="Fuera de Plazo">
      <formula>NOT(ISERROR(SEARCH("Fuera de Plazo",S103)))</formula>
    </cfRule>
  </conditionalFormatting>
  <conditionalFormatting sqref="S103">
    <cfRule type="containsText" dxfId="45" priority="270" operator="containsText" text="Entregado">
      <formula>NOT(ISERROR(SEARCH("Entregado",S103)))</formula>
    </cfRule>
  </conditionalFormatting>
  <conditionalFormatting sqref="U103:V103">
    <cfRule type="dataBar" priority="2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{F9CCD9B5-FA7F-498A-85C2-843999226358}</x14:id>
        </ext>
      </extLst>
    </cfRule>
  </conditionalFormatting>
  <conditionalFormatting sqref="X103">
    <cfRule type="dataBar" priority="28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{9CD9EEA9-867A-47F2-8686-0C28D5224695}</x14:id>
        </ext>
      </extLst>
    </cfRule>
  </conditionalFormatting>
  <conditionalFormatting sqref="W103">
    <cfRule type="dataBar" priority="2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{E465DF83-1798-4E3E-B9C5-CE636E72D599}</x14:id>
        </ext>
      </extLst>
    </cfRule>
  </conditionalFormatting>
  <conditionalFormatting sqref="T103">
    <cfRule type="dataBar" priority="2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{A675A621-E02D-4EE3-AEB9-506F997D1AE5}</x14:id>
        </ext>
      </extLst>
    </cfRule>
  </conditionalFormatting>
  <conditionalFormatting sqref="K103">
    <cfRule type="dataBar" priority="28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{F7A278D6-17E6-4D2D-BA94-867DD236A1AC}</x14:id>
        </ext>
      </extLst>
    </cfRule>
  </conditionalFormatting>
  <conditionalFormatting sqref="J103">
    <cfRule type="dataBar" priority="2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{99E7BDC1-EA1E-4D87-8424-94FE7A110FF6}</x14:id>
        </ext>
      </extLst>
    </cfRule>
  </conditionalFormatting>
  <conditionalFormatting sqref="S104">
    <cfRule type="cellIs" dxfId="44" priority="261" operator="greaterThan">
      <formula>5</formula>
    </cfRule>
    <cfRule type="cellIs" dxfId="43" priority="262" operator="lessThan">
      <formula>0</formula>
    </cfRule>
  </conditionalFormatting>
  <conditionalFormatting sqref="S104">
    <cfRule type="containsText" dxfId="42" priority="260" operator="containsText" text="En Revisión">
      <formula>NOT(ISERROR(SEARCH("En Revisión",S104)))</formula>
    </cfRule>
  </conditionalFormatting>
  <conditionalFormatting sqref="S104">
    <cfRule type="containsText" dxfId="41" priority="258" operator="containsText" text="Entregado">
      <formula>NOT(ISERROR(SEARCH("Entregado",S104)))</formula>
    </cfRule>
    <cfRule type="containsText" dxfId="40" priority="259" operator="containsText" text="En Revisión">
      <formula>NOT(ISERROR(SEARCH("En Revisión",S104)))</formula>
    </cfRule>
  </conditionalFormatting>
  <conditionalFormatting sqref="S104">
    <cfRule type="cellIs" dxfId="39" priority="257" operator="between">
      <formula>0</formula>
      <formula>5</formula>
    </cfRule>
  </conditionalFormatting>
  <conditionalFormatting sqref="S104">
    <cfRule type="containsText" dxfId="38" priority="256" operator="containsText" text="En Revisión">
      <formula>NOT(ISERROR(SEARCH("En Revisión",S104)))</formula>
    </cfRule>
  </conditionalFormatting>
  <conditionalFormatting sqref="S104">
    <cfRule type="containsText" dxfId="37" priority="255" operator="containsText" text="Fuera de Plazo">
      <formula>NOT(ISERROR(SEARCH("Fuera de Plazo",S104)))</formula>
    </cfRule>
  </conditionalFormatting>
  <conditionalFormatting sqref="S104">
    <cfRule type="containsText" dxfId="36" priority="254" operator="containsText" text="Entregado">
      <formula>NOT(ISERROR(SEARCH("Entregado",S104)))</formula>
    </cfRule>
  </conditionalFormatting>
  <conditionalFormatting sqref="U104:V104">
    <cfRule type="dataBar" priority="2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{EF3D2FA5-33EF-4B15-8146-1E71F0F4A462}</x14:id>
        </ext>
      </extLst>
    </cfRule>
  </conditionalFormatting>
  <conditionalFormatting sqref="X104">
    <cfRule type="dataBar" priority="26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{0B00D47A-41F3-4A51-A637-384078297712}</x14:id>
        </ext>
      </extLst>
    </cfRule>
  </conditionalFormatting>
  <conditionalFormatting sqref="W104">
    <cfRule type="dataBar" priority="2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{15E18ED3-BF41-4555-B666-32F68FB80156}</x14:id>
        </ext>
      </extLst>
    </cfRule>
  </conditionalFormatting>
  <conditionalFormatting sqref="T104">
    <cfRule type="dataBar" priority="2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{36AC1358-FD98-4610-849B-30FFF0752942}</x14:id>
        </ext>
      </extLst>
    </cfRule>
  </conditionalFormatting>
  <conditionalFormatting sqref="K104">
    <cfRule type="dataBar" priority="26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{24DEC8CA-345C-4BE3-87B8-D7346578B255}</x14:id>
        </ext>
      </extLst>
    </cfRule>
  </conditionalFormatting>
  <conditionalFormatting sqref="J104">
    <cfRule type="dataBar" priority="2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{26B65FAF-9C7F-4C3A-9269-F499C03C0F58}</x14:id>
        </ext>
      </extLst>
    </cfRule>
  </conditionalFormatting>
  <conditionalFormatting sqref="S105">
    <cfRule type="cellIs" dxfId="35" priority="245" operator="greaterThan">
      <formula>5</formula>
    </cfRule>
    <cfRule type="cellIs" dxfId="34" priority="246" operator="lessThan">
      <formula>0</formula>
    </cfRule>
  </conditionalFormatting>
  <conditionalFormatting sqref="S105">
    <cfRule type="containsText" dxfId="33" priority="244" operator="containsText" text="En Revisión">
      <formula>NOT(ISERROR(SEARCH("En Revisión",S105)))</formula>
    </cfRule>
  </conditionalFormatting>
  <conditionalFormatting sqref="S105">
    <cfRule type="containsText" dxfId="32" priority="242" operator="containsText" text="Entregado">
      <formula>NOT(ISERROR(SEARCH("Entregado",S105)))</formula>
    </cfRule>
    <cfRule type="containsText" dxfId="31" priority="243" operator="containsText" text="En Revisión">
      <formula>NOT(ISERROR(SEARCH("En Revisión",S105)))</formula>
    </cfRule>
  </conditionalFormatting>
  <conditionalFormatting sqref="S105">
    <cfRule type="cellIs" dxfId="30" priority="241" operator="between">
      <formula>0</formula>
      <formula>5</formula>
    </cfRule>
  </conditionalFormatting>
  <conditionalFormatting sqref="S105">
    <cfRule type="containsText" dxfId="29" priority="240" operator="containsText" text="En Revisión">
      <formula>NOT(ISERROR(SEARCH("En Revisión",S105)))</formula>
    </cfRule>
  </conditionalFormatting>
  <conditionalFormatting sqref="S105">
    <cfRule type="containsText" dxfId="28" priority="239" operator="containsText" text="Fuera de Plazo">
      <formula>NOT(ISERROR(SEARCH("Fuera de Plazo",S105)))</formula>
    </cfRule>
  </conditionalFormatting>
  <conditionalFormatting sqref="S105">
    <cfRule type="containsText" dxfId="27" priority="238" operator="containsText" text="Entregado">
      <formula>NOT(ISERROR(SEARCH("Entregado",S105)))</formula>
    </cfRule>
  </conditionalFormatting>
  <conditionalFormatting sqref="U105:V105">
    <cfRule type="dataBar" priority="2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{C3D9A791-D82E-4161-84D7-71BCFFA217BA}</x14:id>
        </ext>
      </extLst>
    </cfRule>
  </conditionalFormatting>
  <conditionalFormatting sqref="X105">
    <cfRule type="dataBar" priority="24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{1B09AF4F-FFB4-432C-B16C-7410499F6BAA}</x14:id>
        </ext>
      </extLst>
    </cfRule>
  </conditionalFormatting>
  <conditionalFormatting sqref="W105">
    <cfRule type="dataBar" priority="2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{CCEB3E21-5566-47FE-89E9-F35B74B30F53}</x14:id>
        </ext>
      </extLst>
    </cfRule>
  </conditionalFormatting>
  <conditionalFormatting sqref="T105">
    <cfRule type="dataBar" priority="2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{8A5A3D40-763E-444E-A8F5-85ECDD26BD71}</x14:id>
        </ext>
      </extLst>
    </cfRule>
  </conditionalFormatting>
  <conditionalFormatting sqref="K105">
    <cfRule type="dataBar" priority="25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{28ABBFC8-41EA-4061-978D-3615507A7FA8}</x14:id>
        </ext>
      </extLst>
    </cfRule>
  </conditionalFormatting>
  <conditionalFormatting sqref="J105">
    <cfRule type="dataBar" priority="2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{AF7B7E28-9697-4B80-A524-666FDE69137A}</x14:id>
        </ext>
      </extLst>
    </cfRule>
  </conditionalFormatting>
  <conditionalFormatting sqref="S106">
    <cfRule type="cellIs" dxfId="26" priority="229" operator="greaterThan">
      <formula>5</formula>
    </cfRule>
    <cfRule type="cellIs" dxfId="25" priority="230" operator="lessThan">
      <formula>0</formula>
    </cfRule>
  </conditionalFormatting>
  <conditionalFormatting sqref="S106">
    <cfRule type="containsText" dxfId="24" priority="228" operator="containsText" text="En Revisión">
      <formula>NOT(ISERROR(SEARCH("En Revisión",S106)))</formula>
    </cfRule>
  </conditionalFormatting>
  <conditionalFormatting sqref="S106">
    <cfRule type="containsText" dxfId="23" priority="226" operator="containsText" text="Entregado">
      <formula>NOT(ISERROR(SEARCH("Entregado",S106)))</formula>
    </cfRule>
    <cfRule type="containsText" dxfId="22" priority="227" operator="containsText" text="En Revisión">
      <formula>NOT(ISERROR(SEARCH("En Revisión",S106)))</formula>
    </cfRule>
  </conditionalFormatting>
  <conditionalFormatting sqref="S106">
    <cfRule type="cellIs" dxfId="21" priority="225" operator="between">
      <formula>0</formula>
      <formula>5</formula>
    </cfRule>
  </conditionalFormatting>
  <conditionalFormatting sqref="S106">
    <cfRule type="containsText" dxfId="20" priority="224" operator="containsText" text="En Revisión">
      <formula>NOT(ISERROR(SEARCH("En Revisión",S106)))</formula>
    </cfRule>
  </conditionalFormatting>
  <conditionalFormatting sqref="S106">
    <cfRule type="containsText" dxfId="19" priority="223" operator="containsText" text="Fuera de Plazo">
      <formula>NOT(ISERROR(SEARCH("Fuera de Plazo",S106)))</formula>
    </cfRule>
  </conditionalFormatting>
  <conditionalFormatting sqref="S106">
    <cfRule type="containsText" dxfId="18" priority="222" operator="containsText" text="Entregado">
      <formula>NOT(ISERROR(SEARCH("Entregado",S106)))</formula>
    </cfRule>
  </conditionalFormatting>
  <conditionalFormatting sqref="U106:V106">
    <cfRule type="dataBar" priority="2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{CC8EA1CB-D52A-4C51-95AC-CB6660074982}</x14:id>
        </ext>
      </extLst>
    </cfRule>
  </conditionalFormatting>
  <conditionalFormatting sqref="X106">
    <cfRule type="dataBar" priority="23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{C3E434DF-9E22-450C-A90B-88D66AF0238D}</x14:id>
        </ext>
      </extLst>
    </cfRule>
  </conditionalFormatting>
  <conditionalFormatting sqref="W106">
    <cfRule type="dataBar" priority="2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{D6B18121-8614-4207-BB3E-3871C1344892}</x14:id>
        </ext>
      </extLst>
    </cfRule>
  </conditionalFormatting>
  <conditionalFormatting sqref="T106">
    <cfRule type="dataBar" priority="2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{2D114D0D-30DC-47CE-A343-E2AEBF1BC6C9}</x14:id>
        </ext>
      </extLst>
    </cfRule>
  </conditionalFormatting>
  <conditionalFormatting sqref="K106">
    <cfRule type="dataBar" priority="23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{1BB72B92-7770-4B50-9DF4-28E381DBB1C6}</x14:id>
        </ext>
      </extLst>
    </cfRule>
  </conditionalFormatting>
  <conditionalFormatting sqref="J106">
    <cfRule type="dataBar" priority="2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{BAB0AB3B-9A93-4F99-878E-7F6595380250}</x14:id>
        </ext>
      </extLst>
    </cfRule>
  </conditionalFormatting>
  <conditionalFormatting sqref="S107">
    <cfRule type="cellIs" dxfId="17" priority="213" operator="greaterThan">
      <formula>5</formula>
    </cfRule>
    <cfRule type="cellIs" dxfId="16" priority="214" operator="lessThan">
      <formula>0</formula>
    </cfRule>
  </conditionalFormatting>
  <conditionalFormatting sqref="S107">
    <cfRule type="containsText" dxfId="15" priority="212" operator="containsText" text="En Revisión">
      <formula>NOT(ISERROR(SEARCH("En Revisión",S107)))</formula>
    </cfRule>
  </conditionalFormatting>
  <conditionalFormatting sqref="S107">
    <cfRule type="containsText" dxfId="14" priority="210" operator="containsText" text="Entregado">
      <formula>NOT(ISERROR(SEARCH("Entregado",S107)))</formula>
    </cfRule>
    <cfRule type="containsText" dxfId="13" priority="211" operator="containsText" text="En Revisión">
      <formula>NOT(ISERROR(SEARCH("En Revisión",S107)))</formula>
    </cfRule>
  </conditionalFormatting>
  <conditionalFormatting sqref="S107">
    <cfRule type="cellIs" dxfId="12" priority="209" operator="between">
      <formula>0</formula>
      <formula>5</formula>
    </cfRule>
  </conditionalFormatting>
  <conditionalFormatting sqref="S107">
    <cfRule type="containsText" dxfId="11" priority="208" operator="containsText" text="En Revisión">
      <formula>NOT(ISERROR(SEARCH("En Revisión",S107)))</formula>
    </cfRule>
  </conditionalFormatting>
  <conditionalFormatting sqref="S107">
    <cfRule type="containsText" dxfId="10" priority="207" operator="containsText" text="Fuera de Plazo">
      <formula>NOT(ISERROR(SEARCH("Fuera de Plazo",S107)))</formula>
    </cfRule>
  </conditionalFormatting>
  <conditionalFormatting sqref="S107">
    <cfRule type="containsText" dxfId="9" priority="206" operator="containsText" text="Entregado">
      <formula>NOT(ISERROR(SEARCH("Entregado",S107)))</formula>
    </cfRule>
  </conditionalFormatting>
  <conditionalFormatting sqref="U107:V107">
    <cfRule type="dataBar" priority="2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{B0CF13A0-6DD4-4183-AB1D-6876D5C6DEAC}</x14:id>
        </ext>
      </extLst>
    </cfRule>
  </conditionalFormatting>
  <conditionalFormatting sqref="X107">
    <cfRule type="dataBar" priority="21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{9E3E73CC-6255-4948-A6B9-4D62DF525681}</x14:id>
        </ext>
      </extLst>
    </cfRule>
  </conditionalFormatting>
  <conditionalFormatting sqref="W107">
    <cfRule type="dataBar" priority="2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{B004863F-A67B-427A-AF87-5463D67CC0DD}</x14:id>
        </ext>
      </extLst>
    </cfRule>
  </conditionalFormatting>
  <conditionalFormatting sqref="T107">
    <cfRule type="dataBar" priority="2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{079C4277-D6F3-4847-8E6F-74BC33FCC501}</x14:id>
        </ext>
      </extLst>
    </cfRule>
  </conditionalFormatting>
  <conditionalFormatting sqref="K107">
    <cfRule type="dataBar" priority="21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{2CCD64AF-5E1A-48E3-BD6F-350587155409}</x14:id>
        </ext>
      </extLst>
    </cfRule>
  </conditionalFormatting>
  <conditionalFormatting sqref="J107">
    <cfRule type="dataBar" priority="2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{BA5EB3AB-20A2-4B0B-B8C3-C3F917AF260C}</x14:id>
        </ext>
      </extLst>
    </cfRule>
  </conditionalFormatting>
  <conditionalFormatting sqref="S108">
    <cfRule type="cellIs" dxfId="8" priority="197" operator="greaterThan">
      <formula>5</formula>
    </cfRule>
    <cfRule type="cellIs" dxfId="7" priority="198" operator="lessThan">
      <formula>0</formula>
    </cfRule>
  </conditionalFormatting>
  <conditionalFormatting sqref="S108">
    <cfRule type="containsText" dxfId="6" priority="196" operator="containsText" text="En Revisión">
      <formula>NOT(ISERROR(SEARCH("En Revisión",S108)))</formula>
    </cfRule>
  </conditionalFormatting>
  <conditionalFormatting sqref="S108">
    <cfRule type="containsText" dxfId="5" priority="194" operator="containsText" text="Entregado">
      <formula>NOT(ISERROR(SEARCH("Entregado",S108)))</formula>
    </cfRule>
    <cfRule type="containsText" dxfId="4" priority="195" operator="containsText" text="En Revisión">
      <formula>NOT(ISERROR(SEARCH("En Revisión",S108)))</formula>
    </cfRule>
  </conditionalFormatting>
  <conditionalFormatting sqref="S108">
    <cfRule type="cellIs" dxfId="3" priority="193" operator="between">
      <formula>0</formula>
      <formula>5</formula>
    </cfRule>
  </conditionalFormatting>
  <conditionalFormatting sqref="S108">
    <cfRule type="containsText" dxfId="2" priority="192" operator="containsText" text="En Revisión">
      <formula>NOT(ISERROR(SEARCH("En Revisión",S108)))</formula>
    </cfRule>
  </conditionalFormatting>
  <conditionalFormatting sqref="S108">
    <cfRule type="containsText" dxfId="1" priority="191" operator="containsText" text="Fuera de Plazo">
      <formula>NOT(ISERROR(SEARCH("Fuera de Plazo",S108)))</formula>
    </cfRule>
  </conditionalFormatting>
  <conditionalFormatting sqref="S108">
    <cfRule type="containsText" dxfId="0" priority="190" operator="containsText" text="Entregado">
      <formula>NOT(ISERROR(SEARCH("Entregado",S108)))</formula>
    </cfRule>
  </conditionalFormatting>
  <conditionalFormatting sqref="U108:V108">
    <cfRule type="dataBar" priority="1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{AF486B41-605C-44FE-8AFB-D7A43084783A}</x14:id>
        </ext>
      </extLst>
    </cfRule>
  </conditionalFormatting>
  <conditionalFormatting sqref="X108">
    <cfRule type="dataBar" priority="20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{A802B5DC-4382-4DD3-B48D-502B4998B1AA}</x14:id>
        </ext>
      </extLst>
    </cfRule>
  </conditionalFormatting>
  <conditionalFormatting sqref="W108">
    <cfRule type="dataBar" priority="2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{3DCD6C17-D153-4EB1-8E0F-E244E385B677}</x14:id>
        </ext>
      </extLst>
    </cfRule>
  </conditionalFormatting>
  <conditionalFormatting sqref="T108">
    <cfRule type="dataBar" priority="2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{2317B02E-1445-40C4-9701-CC7168F080FD}</x14:id>
        </ext>
      </extLst>
    </cfRule>
  </conditionalFormatting>
  <conditionalFormatting sqref="K108">
    <cfRule type="dataBar" priority="20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{B0C1485C-63C2-4EBA-AA90-A5774A60348A}</x14:id>
        </ext>
      </extLst>
    </cfRule>
  </conditionalFormatting>
  <conditionalFormatting sqref="J108">
    <cfRule type="dataBar" priority="2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{680F0419-60B9-404A-8CFC-01F8DF3B2E13}</x14:id>
        </ext>
      </extLst>
    </cfRule>
  </conditionalFormatting>
  <conditionalFormatting sqref="E40">
    <cfRule type="dataBar" priority="13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{14A16575-D1F1-4CB9-84A1-E1DD9F716362}</x14:id>
        </ext>
      </extLst>
    </cfRule>
  </conditionalFormatting>
  <conditionalFormatting sqref="E42">
    <cfRule type="dataBar" priority="13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{D003085C-7918-4C98-94AF-BC9D404C76D0}</x14:id>
        </ext>
      </extLst>
    </cfRule>
  </conditionalFormatting>
  <conditionalFormatting sqref="E43">
    <cfRule type="dataBar" priority="13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{E74374D0-50E2-45EF-82D7-5F1D1852B1B4}</x14:id>
        </ext>
      </extLst>
    </cfRule>
  </conditionalFormatting>
  <conditionalFormatting sqref="E37:I42">
    <cfRule type="dataBar" priority="14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{DF399C9E-96CC-4DFC-95AB-525C6321FABB}</x14:id>
        </ext>
      </extLst>
    </cfRule>
  </conditionalFormatting>
  <conditionalFormatting sqref="E44">
    <cfRule type="dataBar" priority="14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{2D83D712-40B1-4889-AA71-6E00844DF8DC}</x14:id>
        </ext>
      </extLst>
    </cfRule>
  </conditionalFormatting>
  <conditionalFormatting sqref="E52">
    <cfRule type="dataBar" priority="14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{67949338-3F8C-44BD-88FC-0E68FD2CF3F2}</x14:id>
        </ext>
      </extLst>
    </cfRule>
  </conditionalFormatting>
  <conditionalFormatting sqref="E53">
    <cfRule type="dataBar" priority="14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{95448E9B-E2CC-4067-ADEF-715BFC3691AE}</x14:id>
        </ext>
      </extLst>
    </cfRule>
  </conditionalFormatting>
  <conditionalFormatting sqref="E54">
    <cfRule type="dataBar" priority="14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{684B7601-70C7-412C-BED7-55A6EAEDC9C1}</x14:id>
        </ext>
      </extLst>
    </cfRule>
  </conditionalFormatting>
  <conditionalFormatting sqref="E60:E61">
    <cfRule type="dataBar" priority="15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{B5EBA168-EAD8-44BD-8336-7A0467C9D983}</x14:id>
        </ext>
      </extLst>
    </cfRule>
  </conditionalFormatting>
  <conditionalFormatting sqref="E62">
    <cfRule type="dataBar" priority="15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{1F0A4709-5180-4F0A-A142-4C1C5958AD62}</x14:id>
        </ext>
      </extLst>
    </cfRule>
  </conditionalFormatting>
  <conditionalFormatting sqref="E63">
    <cfRule type="dataBar" priority="15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{B2178C98-5A13-4744-BF11-72A6E955A6DD}</x14:id>
        </ext>
      </extLst>
    </cfRule>
  </conditionalFormatting>
  <conditionalFormatting sqref="E64:E66">
    <cfRule type="dataBar" priority="15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{BA2E361A-2B62-4BB1-85C4-C7B8A219754D}</x14:id>
        </ext>
      </extLst>
    </cfRule>
  </conditionalFormatting>
  <conditionalFormatting sqref="E67:E69">
    <cfRule type="dataBar" priority="15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{6D30EA1A-210A-4BF8-8E00-423E98512B79}</x14:id>
        </ext>
      </extLst>
    </cfRule>
  </conditionalFormatting>
  <conditionalFormatting sqref="E112">
    <cfRule type="dataBar" priority="15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{8CFD6426-3CD4-452D-8AB5-D56D5557E2AA}</x14:id>
        </ext>
      </extLst>
    </cfRule>
  </conditionalFormatting>
  <conditionalFormatting sqref="E113:E117">
    <cfRule type="dataBar" priority="15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{23215A50-CD10-467A-820C-11CA834F4A22}</x14:id>
        </ext>
      </extLst>
    </cfRule>
  </conditionalFormatting>
  <conditionalFormatting sqref="E85">
    <cfRule type="dataBar" priority="15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{7F1280FD-5AE3-4136-9B8C-447F8DFFDEB4}</x14:id>
        </ext>
      </extLst>
    </cfRule>
  </conditionalFormatting>
  <conditionalFormatting sqref="E86:E87">
    <cfRule type="dataBar" priority="15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{12F8109A-FA4B-4F73-B8FE-80B3B8D6E513}</x14:id>
        </ext>
      </extLst>
    </cfRule>
  </conditionalFormatting>
  <conditionalFormatting sqref="E88">
    <cfRule type="dataBar" priority="15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{6188B972-94D2-4BED-A230-5FAA550AA14D}</x14:id>
        </ext>
      </extLst>
    </cfRule>
  </conditionalFormatting>
  <conditionalFormatting sqref="E89">
    <cfRule type="dataBar" priority="15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{52AD4F00-E392-4FC4-B26F-D1EAA7086593}</x14:id>
        </ext>
      </extLst>
    </cfRule>
  </conditionalFormatting>
  <conditionalFormatting sqref="W37:X37 A37:E37 H37:T37 A40:B40 A43:B43 A46:B46 A49:B49 A52:B52 A55:B55 A58:B58 A61:B61 A64:B64 A67:B67 A70:B70 A73:B73 A76:B76 A79:B79 A82:B82 A85:B85 A88:B88 A91:B91 A94:B94 A97:B97 A100:B100 A103:B103 A106:B106 A109:B109 A112:B112 A115:B115">
    <cfRule type="dataBar" priority="19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{E61BC620-6D19-494C-A3CD-3730D1D056CE}</x14:id>
        </ext>
      </extLst>
    </cfRule>
  </conditionalFormatting>
  <conditionalFormatting sqref="W38:X38 A38:E38 H38:T38 A41:B41 A44:B44 A47:B47 A50:B50 A53:B53 A56:B56 A59:B59 A62:B62 A65:B65 A68:B68 A71:B71 A74:B74 A77:B77 A80:B80 A83:B83 A86:B86 A89:B89 A92:B92 A95:B95 A98:B98 A101:B101 A104:B104 A107:B107 A110:B110 A113:B113 A116:B116">
    <cfRule type="dataBar" priority="19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{5390B850-3DE3-46C7-9A06-57D84AC8CA47}</x14:id>
        </ext>
      </extLst>
    </cfRule>
  </conditionalFormatting>
  <conditionalFormatting sqref="W42:X42 S42 L42:N42">
    <cfRule type="dataBar" priority="20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{F4FCB218-243A-419D-9721-1F23C11C21D6}</x14:id>
        </ext>
      </extLst>
    </cfRule>
  </conditionalFormatting>
  <conditionalFormatting sqref="W43:X43 S43 L43:N43">
    <cfRule type="dataBar" priority="20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{A711723A-2793-4EBF-8463-C1F6061A7DCF}</x14:id>
        </ext>
      </extLst>
    </cfRule>
  </conditionalFormatting>
  <conditionalFormatting sqref="W46:X46 G46:I46 C46:E46 S46 L46:N46">
    <cfRule type="dataBar" priority="20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{7235C286-1E68-415C-9E22-9AF8C3F3C4B2}</x14:id>
        </ext>
      </extLst>
    </cfRule>
  </conditionalFormatting>
  <conditionalFormatting sqref="W41:X41 S41 L41:N41 C41:D41">
    <cfRule type="dataBar" priority="20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{2D93148F-1B3E-4EB0-8A30-ED46862E59C6}</x14:id>
        </ext>
      </extLst>
    </cfRule>
  </conditionalFormatting>
  <conditionalFormatting sqref="W39:X39 C39:E39 H39:T39">
    <cfRule type="dataBar" priority="20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{7D684BEF-21AD-46F6-9F04-4A069C0E8E7F}</x14:id>
        </ext>
      </extLst>
    </cfRule>
  </conditionalFormatting>
  <conditionalFormatting sqref="W44:X44 S44 L44:N44">
    <cfRule type="dataBar" priority="20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{F1CB32E6-080D-46DB-8099-1473F9933FA4}</x14:id>
        </ext>
      </extLst>
    </cfRule>
  </conditionalFormatting>
  <conditionalFormatting sqref="W52:X54 C52:D54 G52:N54 S52:T54">
    <cfRule type="dataBar" priority="20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{216757E4-99E1-4416-A72C-D26A839B2E24}</x14:id>
        </ext>
      </extLst>
    </cfRule>
  </conditionalFormatting>
  <conditionalFormatting sqref="W62:X62 G62:T62 C62:D62">
    <cfRule type="dataBar" priority="20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{C4ADAFF1-838B-4783-B0EC-5D36010D0ADA}</x14:id>
        </ext>
      </extLst>
    </cfRule>
  </conditionalFormatting>
  <conditionalFormatting sqref="W63:X63 G63:T63 C63:D63">
    <cfRule type="dataBar" priority="20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{4DF9112A-0108-488F-9E7A-8AB2FC3E1176}</x14:id>
        </ext>
      </extLst>
    </cfRule>
  </conditionalFormatting>
  <conditionalFormatting sqref="W72:X72 C72:E72 H72:N72 S72:T72">
    <cfRule type="dataBar" priority="20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{2B323B60-C445-4847-806C-CE2F67B00F6B}</x14:id>
        </ext>
      </extLst>
    </cfRule>
  </conditionalFormatting>
  <conditionalFormatting sqref="W73:X73 C73:E73 H73:N73 S73:T73">
    <cfRule type="dataBar" priority="20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{9571F591-BB1F-4413-9B06-9F6B7842841A}</x14:id>
        </ext>
      </extLst>
    </cfRule>
  </conditionalFormatting>
  <conditionalFormatting sqref="W74:X74 C74:E74 H74:N74 S74:T74">
    <cfRule type="dataBar" priority="20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{1D8B92FD-AEBF-4A6E-AD81-6C484818F280}</x14:id>
        </ext>
      </extLst>
    </cfRule>
  </conditionalFormatting>
  <conditionalFormatting sqref="W78:X80 H78:T80 C78:E80">
    <cfRule type="dataBar" priority="20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{B4DE85B3-A365-49B2-B144-08299EE5A5B5}</x14:id>
        </ext>
      </extLst>
    </cfRule>
  </conditionalFormatting>
  <conditionalFormatting sqref="W81:X81 H81:T81 C81:E81">
    <cfRule type="dataBar" priority="20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{4EB9E0A4-40DF-4363-9E92-596308E8BEF1}</x14:id>
        </ext>
      </extLst>
    </cfRule>
  </conditionalFormatting>
  <conditionalFormatting sqref="W82:X82 H82:T82 C82:E82">
    <cfRule type="dataBar" priority="20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{F038CE6E-BDE6-4BA4-905C-F9A31D8D19EA}</x14:id>
        </ext>
      </extLst>
    </cfRule>
  </conditionalFormatting>
  <conditionalFormatting sqref="W83:X83 H83:T83 C83:E83">
    <cfRule type="dataBar" priority="20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{A24D0E96-2818-4B78-95C6-BF71576ED799}</x14:id>
        </ext>
      </extLst>
    </cfRule>
  </conditionalFormatting>
  <conditionalFormatting sqref="W113:X117 H113:T117 C113:D117">
    <cfRule type="dataBar" priority="21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{3BE4920B-7074-4C65-907D-BECAD99D6A19}</x14:id>
        </ext>
      </extLst>
    </cfRule>
  </conditionalFormatting>
  <conditionalFormatting sqref="W85:X91 C90:E91 C85:D89 H85:T91">
    <cfRule type="dataBar" priority="21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{7F121DA0-8C11-4E67-8C26-E92FDB463566}</x14:id>
        </ext>
      </extLst>
    </cfRule>
  </conditionalFormatting>
  <conditionalFormatting sqref="W92:X93 H92:I93 C92:E93 L92:S93">
    <cfRule type="dataBar" priority="21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{637F9FF5-9CA0-4159-9D85-9B777E1813E2}</x14:id>
        </ext>
      </extLst>
    </cfRule>
  </conditionalFormatting>
  <conditionalFormatting sqref="W94:X95 C94:E95 H94:T95">
    <cfRule type="dataBar" priority="21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{3044C997-504D-44AE-B08D-267D8650345A}</x14:id>
        </ext>
      </extLst>
    </cfRule>
  </conditionalFormatting>
  <conditionalFormatting sqref="W97:X101 C97:E101 H97:T101">
    <cfRule type="dataBar" priority="21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{060BBF71-9D05-448A-A6E6-62DDE5F9A1DF}</x14:id>
        </ext>
      </extLst>
    </cfRule>
  </conditionalFormatting>
  <conditionalFormatting sqref="W110:X110 C110:E110 H110:T110">
    <cfRule type="dataBar" priority="21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{08B1AC31-4659-45C0-A6DA-EB4DB6002FBC}</x14:id>
        </ext>
      </extLst>
    </cfRule>
  </conditionalFormatting>
  <conditionalFormatting sqref="W111:X111 C111:E111 H111:T111">
    <cfRule type="dataBar" priority="21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{FD9848BB-09FD-4F38-AFDC-25B65A603338}</x14:id>
        </ext>
      </extLst>
    </cfRule>
  </conditionalFormatting>
  <conditionalFormatting sqref="W103:X103 C103:E103 H103:T103">
    <cfRule type="dataBar" priority="21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{FE883E2F-36E8-4BCA-93B0-A1AAD10A0E68}</x14:id>
        </ext>
      </extLst>
    </cfRule>
  </conditionalFormatting>
  <conditionalFormatting sqref="W104:X104 C104:E104 H104:T104">
    <cfRule type="dataBar" priority="21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{75860DC1-4856-4018-969F-28DC492914F2}</x14:id>
        </ext>
      </extLst>
    </cfRule>
  </conditionalFormatting>
  <conditionalFormatting sqref="W105:X105 C105:E105 H105:T105">
    <cfRule type="dataBar" priority="21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{12DF82C0-46E2-4514-9543-BF495ECFDBA1}</x14:id>
        </ext>
      </extLst>
    </cfRule>
  </conditionalFormatting>
  <conditionalFormatting sqref="W106:X106 C106:E106 H106:T106">
    <cfRule type="dataBar" priority="21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{618493A5-7D83-4AC6-90FF-066262430AE2}</x14:id>
        </ext>
      </extLst>
    </cfRule>
  </conditionalFormatting>
  <conditionalFormatting sqref="W107:X107 C107:E107 H107:T107">
    <cfRule type="dataBar" priority="21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{9C0B5A7D-0C97-4634-A29A-2A8872051FE1}</x14:id>
        </ext>
      </extLst>
    </cfRule>
  </conditionalFormatting>
  <conditionalFormatting sqref="W108:X108 C108:E108 H108:T108">
    <cfRule type="dataBar" priority="21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{4751EB2C-132E-43CA-AF15-6CFE8C2B0B31}</x14:id>
        </ext>
      </extLst>
    </cfRule>
  </conditionalFormatting>
  <conditionalFormatting sqref="W48:X51 O48:R49 C48:E51 O51:R51 G48:N51 S48:T51">
    <cfRule type="dataBar" priority="21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{B6D71157-757F-4245-BAEB-847EB463DCC7}</x14:id>
        </ext>
      </extLst>
    </cfRule>
  </conditionalFormatting>
  <conditionalFormatting sqref="W56:X61 O56:R59 C56:E59 C60:D61 O61:R61 G56:N61 S56:T61">
    <cfRule type="dataBar" priority="21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{F6B443D5-6644-47B9-9A91-4F79534B688C}</x14:id>
        </ext>
      </extLst>
    </cfRule>
  </conditionalFormatting>
  <conditionalFormatting sqref="W64:X66 C64:D66 O65:R65 G64:N66 S64:T66">
    <cfRule type="dataBar" priority="21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{1392AFE5-6F09-4D45-AE68-FB1B2E1889CB}</x14:id>
        </ext>
      </extLst>
    </cfRule>
  </conditionalFormatting>
  <conditionalFormatting sqref="W67:X69 C67:D69 O67:R67 O69:R69 G67:N69 S67:T69">
    <cfRule type="dataBar" priority="21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{0814EF7B-30F0-4447-A5F1-0DB3D17C3058}</x14:id>
        </ext>
      </extLst>
    </cfRule>
  </conditionalFormatting>
  <conditionalFormatting sqref="W35:X36 C112:D112 F35:L35 T35:V35 W75:X77 A35:E36 H36:L36 M35:S36 T36 W47:X47 W40:X40 S40 L40:N40 C40:D40 G45:I45 W45:X45 S45 L45:N45 C42:D43 F70:K70 C47:E47 G47:T47 W55:X55 G55:N55 S55:T55 C55:E55 F76:K76 C70:E71 H71:K71 W70:X71 L70:N71 S70:T71 G75:K75 C76:E77 H77:K77 L75:T77 W84:X84 H84:T84 W96:X96 H96:T96 W102:X102 H102:T102 W112:X112 H112:T112 W109:X109 C109:E109 H109:T109 A39:B39 A42:B42 A45:E45 A48:B48 A51:B51 A54:B54 A57:B57 A60:B60 A63:B63 A66:B66 A69:B69 A72:B72 A75:E75 A78:B78 A81:B81 A84:E84 A87:B87 A90:B90 A93:B93 A96:E96 A99:B99 A102:E102 A105:B105 A108:B108 A111:B111 A114:B114 A117:B117">
    <cfRule type="dataBar" priority="21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{822B93BF-955C-4408-921D-11319F8871D2}</x14:id>
        </ext>
      </extLst>
    </cfRule>
  </conditionalFormatting>
  <pageMargins left="0.7" right="0.7" top="0.75" bottom="0.75" header="0.3" footer="0.3"/>
  <pageSetup paperSize="9"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941C7F9-03B9-4D9A-BBBC-B7AA1587838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U35:V35</xm:sqref>
        </x14:conditionalFormatting>
        <x14:conditionalFormatting xmlns:xm="http://schemas.microsoft.com/office/excel/2006/main">
          <x14:cfRule type="dataBar" id="{CE1B909A-BC3E-44B1-A32B-7D5C58D21A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U102:V102 U112:V112 U70:V71 U96:V96 U36:V36 U40:V40 U45:V45 U47:V47 U55:V55 U75:V77 U84:V84 U109:V109</xm:sqref>
        </x14:conditionalFormatting>
        <x14:conditionalFormatting xmlns:xm="http://schemas.microsoft.com/office/excel/2006/main">
          <x14:cfRule type="dataBar" id="{F2D54709-6738-47E8-B957-3B1C6A85FC6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X102 X112 X70:X71 X96 X35:X36 X40 X45 X47 X55 X75:X77 X84 X109</xm:sqref>
        </x14:conditionalFormatting>
        <x14:conditionalFormatting xmlns:xm="http://schemas.microsoft.com/office/excel/2006/main">
          <x14:cfRule type="dataBar" id="{E923BBE9-3F60-4AAE-9A02-E241BBA7550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W102 W112 W70:W71 W96 W35:W36 W40 W45 W47 W55 W75:W77 W84 W109</xm:sqref>
        </x14:conditionalFormatting>
        <x14:conditionalFormatting xmlns:xm="http://schemas.microsoft.com/office/excel/2006/main">
          <x14:cfRule type="dataBar" id="{66EC48EE-F11B-4B71-94FB-FD8F635409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T112 T102 T70:T71 T96 T36 T47 T55 T75:T77 T84 T109</xm:sqref>
        </x14:conditionalFormatting>
        <x14:conditionalFormatting xmlns:xm="http://schemas.microsoft.com/office/excel/2006/main">
          <x14:cfRule type="dataBar" id="{DE4C7072-DC34-4925-9332-226BA69674F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K102 K112 K70:K71 K96 K36 K47 K55 K75:K77 K84 K109</xm:sqref>
        </x14:conditionalFormatting>
        <x14:conditionalFormatting xmlns:xm="http://schemas.microsoft.com/office/excel/2006/main">
          <x14:cfRule type="dataBar" id="{5FB9C4AF-C0E3-42C2-9551-0E69A65B84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J102 J112 J70:J71 J96 J36 J47 J55 J75:J77 J84 J109</xm:sqref>
        </x14:conditionalFormatting>
        <x14:conditionalFormatting xmlns:xm="http://schemas.microsoft.com/office/excel/2006/main">
          <x14:cfRule type="dataBar" id="{AC7B11C4-B502-4CEF-B926-632306BCEE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U37:V37</xm:sqref>
        </x14:conditionalFormatting>
        <x14:conditionalFormatting xmlns:xm="http://schemas.microsoft.com/office/excel/2006/main">
          <x14:cfRule type="dataBar" id="{12A4D2AD-22E4-4A83-A0C5-182CD93CD9B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X37</xm:sqref>
        </x14:conditionalFormatting>
        <x14:conditionalFormatting xmlns:xm="http://schemas.microsoft.com/office/excel/2006/main">
          <x14:cfRule type="dataBar" id="{7679D3AF-A01F-4A6A-A852-2402DE102C8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W37</xm:sqref>
        </x14:conditionalFormatting>
        <x14:conditionalFormatting xmlns:xm="http://schemas.microsoft.com/office/excel/2006/main">
          <x14:cfRule type="dataBar" id="{66D81B10-1F1F-4EBD-B939-EFCD5A6F43A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T37</xm:sqref>
        </x14:conditionalFormatting>
        <x14:conditionalFormatting xmlns:xm="http://schemas.microsoft.com/office/excel/2006/main">
          <x14:cfRule type="dataBar" id="{A85BF103-2502-404A-8BFE-EF6CF73CD7B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K37</xm:sqref>
        </x14:conditionalFormatting>
        <x14:conditionalFormatting xmlns:xm="http://schemas.microsoft.com/office/excel/2006/main">
          <x14:cfRule type="dataBar" id="{559350E1-89F3-4447-8DFC-556B2B4336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J37</xm:sqref>
        </x14:conditionalFormatting>
        <x14:conditionalFormatting xmlns:xm="http://schemas.microsoft.com/office/excel/2006/main">
          <x14:cfRule type="dataBar" id="{FC5CD728-6599-4AB5-88E2-6CB4654227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U38:V38</xm:sqref>
        </x14:conditionalFormatting>
        <x14:conditionalFormatting xmlns:xm="http://schemas.microsoft.com/office/excel/2006/main">
          <x14:cfRule type="dataBar" id="{200E4398-BAC4-41FA-B071-71171622CFB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X38</xm:sqref>
        </x14:conditionalFormatting>
        <x14:conditionalFormatting xmlns:xm="http://schemas.microsoft.com/office/excel/2006/main">
          <x14:cfRule type="dataBar" id="{0D793EA4-82EA-4D9E-A020-2D0C95B628C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W38</xm:sqref>
        </x14:conditionalFormatting>
        <x14:conditionalFormatting xmlns:xm="http://schemas.microsoft.com/office/excel/2006/main">
          <x14:cfRule type="dataBar" id="{65F8AB1E-9706-4C61-9BE9-F607D66A4A8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T38</xm:sqref>
        </x14:conditionalFormatting>
        <x14:conditionalFormatting xmlns:xm="http://schemas.microsoft.com/office/excel/2006/main">
          <x14:cfRule type="dataBar" id="{065A6AA9-55D4-46C7-9F53-1D790B9575B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K38</xm:sqref>
        </x14:conditionalFormatting>
        <x14:conditionalFormatting xmlns:xm="http://schemas.microsoft.com/office/excel/2006/main">
          <x14:cfRule type="dataBar" id="{5C54777F-5B72-4342-AF81-F5A82BEA06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J38</xm:sqref>
        </x14:conditionalFormatting>
        <x14:conditionalFormatting xmlns:xm="http://schemas.microsoft.com/office/excel/2006/main">
          <x14:cfRule type="dataBar" id="{B4A70ED9-918A-4094-877A-01B2839F77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O40:R40</xm:sqref>
        </x14:conditionalFormatting>
        <x14:conditionalFormatting xmlns:xm="http://schemas.microsoft.com/office/excel/2006/main">
          <x14:cfRule type="dataBar" id="{219926B9-8D00-466D-9E00-1704AED290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O42:R42</xm:sqref>
        </x14:conditionalFormatting>
        <x14:conditionalFormatting xmlns:xm="http://schemas.microsoft.com/office/excel/2006/main">
          <x14:cfRule type="dataBar" id="{DD6A0321-89B8-4BCA-9DC7-E8CB982FCA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O43:R43</xm:sqref>
        </x14:conditionalFormatting>
        <x14:conditionalFormatting xmlns:xm="http://schemas.microsoft.com/office/excel/2006/main">
          <x14:cfRule type="dataBar" id="{37C9BC81-6199-48DB-841A-487AF28108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H40:I40</xm:sqref>
        </x14:conditionalFormatting>
        <x14:conditionalFormatting xmlns:xm="http://schemas.microsoft.com/office/excel/2006/main">
          <x14:cfRule type="dataBar" id="{82A11817-F8A2-40D2-A544-ECAF4E5A87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H42:I42</xm:sqref>
        </x14:conditionalFormatting>
        <x14:conditionalFormatting xmlns:xm="http://schemas.microsoft.com/office/excel/2006/main">
          <x14:cfRule type="dataBar" id="{9FD6AF84-5530-46F8-A543-BB220140D3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H43:I43</xm:sqref>
        </x14:conditionalFormatting>
        <x14:conditionalFormatting xmlns:xm="http://schemas.microsoft.com/office/excel/2006/main">
          <x14:cfRule type="dataBar" id="{1514071F-1AC4-424F-9710-4D68610F06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J40:K40 T40</xm:sqref>
        </x14:conditionalFormatting>
        <x14:conditionalFormatting xmlns:xm="http://schemas.microsoft.com/office/excel/2006/main">
          <x14:cfRule type="dataBar" id="{066327A9-BC56-4A49-98C6-2DB7519DEB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T40</xm:sqref>
        </x14:conditionalFormatting>
        <x14:conditionalFormatting xmlns:xm="http://schemas.microsoft.com/office/excel/2006/main">
          <x14:cfRule type="dataBar" id="{C2A4A706-4AE3-4BF3-9CDC-76088154CEC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K40</xm:sqref>
        </x14:conditionalFormatting>
        <x14:conditionalFormatting xmlns:xm="http://schemas.microsoft.com/office/excel/2006/main">
          <x14:cfRule type="dataBar" id="{29173DF6-1424-4870-88AA-4D514B0834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J40</xm:sqref>
        </x14:conditionalFormatting>
        <x14:conditionalFormatting xmlns:xm="http://schemas.microsoft.com/office/excel/2006/main">
          <x14:cfRule type="dataBar" id="{494ECFEE-285D-410A-B73F-9672DB1A24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J42:K42 T42</xm:sqref>
        </x14:conditionalFormatting>
        <x14:conditionalFormatting xmlns:xm="http://schemas.microsoft.com/office/excel/2006/main">
          <x14:cfRule type="dataBar" id="{6905ED09-0845-4CF5-A96B-3431679D18C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T42</xm:sqref>
        </x14:conditionalFormatting>
        <x14:conditionalFormatting xmlns:xm="http://schemas.microsoft.com/office/excel/2006/main">
          <x14:cfRule type="dataBar" id="{6F582D73-DC1F-4C29-9358-A754BE2ED02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K42</xm:sqref>
        </x14:conditionalFormatting>
        <x14:conditionalFormatting xmlns:xm="http://schemas.microsoft.com/office/excel/2006/main">
          <x14:cfRule type="dataBar" id="{244FB1E1-5E94-4E9F-8915-22A59B58D5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J42</xm:sqref>
        </x14:conditionalFormatting>
        <x14:conditionalFormatting xmlns:xm="http://schemas.microsoft.com/office/excel/2006/main">
          <x14:cfRule type="dataBar" id="{3A5F00A8-DF9C-4699-A9A3-7EDC83C7AA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J43:K43 T43</xm:sqref>
        </x14:conditionalFormatting>
        <x14:conditionalFormatting xmlns:xm="http://schemas.microsoft.com/office/excel/2006/main">
          <x14:cfRule type="dataBar" id="{66FC620F-645E-438F-B569-E7A7115E41D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T43</xm:sqref>
        </x14:conditionalFormatting>
        <x14:conditionalFormatting xmlns:xm="http://schemas.microsoft.com/office/excel/2006/main">
          <x14:cfRule type="dataBar" id="{41B9601F-D1A0-453A-BAC4-8B14673EE20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K43</xm:sqref>
        </x14:conditionalFormatting>
        <x14:conditionalFormatting xmlns:xm="http://schemas.microsoft.com/office/excel/2006/main">
          <x14:cfRule type="dataBar" id="{B9CF1AF4-C820-48A7-A77A-8A6BF3C163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J43</xm:sqref>
        </x14:conditionalFormatting>
        <x14:conditionalFormatting xmlns:xm="http://schemas.microsoft.com/office/excel/2006/main">
          <x14:cfRule type="dataBar" id="{45D4883F-E5A4-48F1-9A0D-E0C7301454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U42:V42</xm:sqref>
        </x14:conditionalFormatting>
        <x14:conditionalFormatting xmlns:xm="http://schemas.microsoft.com/office/excel/2006/main">
          <x14:cfRule type="dataBar" id="{C6472A7D-6595-4BB1-945A-1D24D8CBF16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X42</xm:sqref>
        </x14:conditionalFormatting>
        <x14:conditionalFormatting xmlns:xm="http://schemas.microsoft.com/office/excel/2006/main">
          <x14:cfRule type="dataBar" id="{D7A8746A-E5B4-4143-95E5-BCE25E5507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W42</xm:sqref>
        </x14:conditionalFormatting>
        <x14:conditionalFormatting xmlns:xm="http://schemas.microsoft.com/office/excel/2006/main">
          <x14:cfRule type="dataBar" id="{B82E8C22-43FD-49CE-B223-3E0363758E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U43:V43</xm:sqref>
        </x14:conditionalFormatting>
        <x14:conditionalFormatting xmlns:xm="http://schemas.microsoft.com/office/excel/2006/main">
          <x14:cfRule type="dataBar" id="{F7E61067-39D0-404B-ACD1-F6BA5482A51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X43</xm:sqref>
        </x14:conditionalFormatting>
        <x14:conditionalFormatting xmlns:xm="http://schemas.microsoft.com/office/excel/2006/main">
          <x14:cfRule type="dataBar" id="{519DEA96-84E4-406F-9014-610CCCD0E62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W43</xm:sqref>
        </x14:conditionalFormatting>
        <x14:conditionalFormatting xmlns:xm="http://schemas.microsoft.com/office/excel/2006/main">
          <x14:cfRule type="dataBar" id="{84552A4A-0AF8-4F3E-A953-756E5DF396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J45:K45</xm:sqref>
        </x14:conditionalFormatting>
        <x14:conditionalFormatting xmlns:xm="http://schemas.microsoft.com/office/excel/2006/main">
          <x14:cfRule type="dataBar" id="{79AAC13E-9531-47FE-B70B-84A45594C12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K45</xm:sqref>
        </x14:conditionalFormatting>
        <x14:conditionalFormatting xmlns:xm="http://schemas.microsoft.com/office/excel/2006/main">
          <x14:cfRule type="dataBar" id="{EF9C0048-690C-4DA1-BB3D-B40B0B7244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J45</xm:sqref>
        </x14:conditionalFormatting>
        <x14:conditionalFormatting xmlns:xm="http://schemas.microsoft.com/office/excel/2006/main">
          <x14:cfRule type="dataBar" id="{FD460AF3-20E2-44F0-9B50-7BA13CC1FB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T45</xm:sqref>
        </x14:conditionalFormatting>
        <x14:conditionalFormatting xmlns:xm="http://schemas.microsoft.com/office/excel/2006/main">
          <x14:cfRule type="dataBar" id="{1394A357-26B2-453B-B099-BD505E453D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T45</xm:sqref>
        </x14:conditionalFormatting>
        <x14:conditionalFormatting xmlns:xm="http://schemas.microsoft.com/office/excel/2006/main">
          <x14:cfRule type="dataBar" id="{27101268-B9ED-4F4F-8729-8E1D391747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O45:R45</xm:sqref>
        </x14:conditionalFormatting>
        <x14:conditionalFormatting xmlns:xm="http://schemas.microsoft.com/office/excel/2006/main">
          <x14:cfRule type="dataBar" id="{4D089115-2FB2-4906-92C6-C490155314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U46:V46</xm:sqref>
        </x14:conditionalFormatting>
        <x14:conditionalFormatting xmlns:xm="http://schemas.microsoft.com/office/excel/2006/main">
          <x14:cfRule type="dataBar" id="{0683A170-7E49-47A7-8427-BA39035BC44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X46</xm:sqref>
        </x14:conditionalFormatting>
        <x14:conditionalFormatting xmlns:xm="http://schemas.microsoft.com/office/excel/2006/main">
          <x14:cfRule type="dataBar" id="{81D04213-40E8-400D-9150-FF5A313541F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W46</xm:sqref>
        </x14:conditionalFormatting>
        <x14:conditionalFormatting xmlns:xm="http://schemas.microsoft.com/office/excel/2006/main">
          <x14:cfRule type="dataBar" id="{1557BD88-121C-44C4-AF85-846C7F55F6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J46:K46</xm:sqref>
        </x14:conditionalFormatting>
        <x14:conditionalFormatting xmlns:xm="http://schemas.microsoft.com/office/excel/2006/main">
          <x14:cfRule type="dataBar" id="{AD977D5D-7BB7-4F7D-B6CF-527B9C4C3FC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K46</xm:sqref>
        </x14:conditionalFormatting>
        <x14:conditionalFormatting xmlns:xm="http://schemas.microsoft.com/office/excel/2006/main">
          <x14:cfRule type="dataBar" id="{2B2EFE13-454E-4E56-8571-709380E63C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J46</xm:sqref>
        </x14:conditionalFormatting>
        <x14:conditionalFormatting xmlns:xm="http://schemas.microsoft.com/office/excel/2006/main">
          <x14:cfRule type="dataBar" id="{CB5F7681-578A-4B10-8B3D-07717F3A43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T46</xm:sqref>
        </x14:conditionalFormatting>
        <x14:conditionalFormatting xmlns:xm="http://schemas.microsoft.com/office/excel/2006/main">
          <x14:cfRule type="dataBar" id="{A5246FA8-D2DB-499C-932E-3A221E92F6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T46</xm:sqref>
        </x14:conditionalFormatting>
        <x14:conditionalFormatting xmlns:xm="http://schemas.microsoft.com/office/excel/2006/main">
          <x14:cfRule type="dataBar" id="{118FC945-B6BC-4137-94C8-B196BDF123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O46:R46</xm:sqref>
        </x14:conditionalFormatting>
        <x14:conditionalFormatting xmlns:xm="http://schemas.microsoft.com/office/excel/2006/main">
          <x14:cfRule type="dataBar" id="{719D6703-233A-46FD-BF6B-35B9622B1E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U41:V41</xm:sqref>
        </x14:conditionalFormatting>
        <x14:conditionalFormatting xmlns:xm="http://schemas.microsoft.com/office/excel/2006/main">
          <x14:cfRule type="dataBar" id="{B321BA9C-C761-4E21-868C-B12C873830A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X41</xm:sqref>
        </x14:conditionalFormatting>
        <x14:conditionalFormatting xmlns:xm="http://schemas.microsoft.com/office/excel/2006/main">
          <x14:cfRule type="dataBar" id="{8ACED8BB-F1C1-45C3-BCEC-760F326F153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W41</xm:sqref>
        </x14:conditionalFormatting>
        <x14:conditionalFormatting xmlns:xm="http://schemas.microsoft.com/office/excel/2006/main">
          <x14:cfRule type="dataBar" id="{6BCFA4C5-E328-4B83-917C-D1E434BB6A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O41:R41</xm:sqref>
        </x14:conditionalFormatting>
        <x14:conditionalFormatting xmlns:xm="http://schemas.microsoft.com/office/excel/2006/main">
          <x14:cfRule type="dataBar" id="{6221DC49-A566-4C83-90E4-A71A3A6B64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H41:I41</xm:sqref>
        </x14:conditionalFormatting>
        <x14:conditionalFormatting xmlns:xm="http://schemas.microsoft.com/office/excel/2006/main">
          <x14:cfRule type="dataBar" id="{76D86B81-C99A-4DBA-BA4E-FF4B8373D3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J41:K41 T41</xm:sqref>
        </x14:conditionalFormatting>
        <x14:conditionalFormatting xmlns:xm="http://schemas.microsoft.com/office/excel/2006/main">
          <x14:cfRule type="dataBar" id="{9C45B5DF-2EA8-4298-BC88-C44CA10A12F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T41</xm:sqref>
        </x14:conditionalFormatting>
        <x14:conditionalFormatting xmlns:xm="http://schemas.microsoft.com/office/excel/2006/main">
          <x14:cfRule type="dataBar" id="{27CF8AD5-EF74-40FD-B0C9-07B8344AA1D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K41</xm:sqref>
        </x14:conditionalFormatting>
        <x14:conditionalFormatting xmlns:xm="http://schemas.microsoft.com/office/excel/2006/main">
          <x14:cfRule type="dataBar" id="{EE021A72-F71B-4206-8EB5-E9A0F3B0D8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J41</xm:sqref>
        </x14:conditionalFormatting>
        <x14:conditionalFormatting xmlns:xm="http://schemas.microsoft.com/office/excel/2006/main">
          <x14:cfRule type="dataBar" id="{BA81CCA6-9611-4330-95F8-30F848D446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U39:V39</xm:sqref>
        </x14:conditionalFormatting>
        <x14:conditionalFormatting xmlns:xm="http://schemas.microsoft.com/office/excel/2006/main">
          <x14:cfRule type="dataBar" id="{36C8927D-7B28-4D43-94C5-E2452E895D9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X39</xm:sqref>
        </x14:conditionalFormatting>
        <x14:conditionalFormatting xmlns:xm="http://schemas.microsoft.com/office/excel/2006/main">
          <x14:cfRule type="dataBar" id="{CD6E9E78-2058-4DE1-8C4B-ED4AA4E4C84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W39</xm:sqref>
        </x14:conditionalFormatting>
        <x14:conditionalFormatting xmlns:xm="http://schemas.microsoft.com/office/excel/2006/main">
          <x14:cfRule type="dataBar" id="{B55C6EC3-89CD-400E-9E9B-FF1E9DE8796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T39</xm:sqref>
        </x14:conditionalFormatting>
        <x14:conditionalFormatting xmlns:xm="http://schemas.microsoft.com/office/excel/2006/main">
          <x14:cfRule type="dataBar" id="{CE5DEFDF-BEC5-48E8-B2AE-2020DC6FA7E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K39</xm:sqref>
        </x14:conditionalFormatting>
        <x14:conditionalFormatting xmlns:xm="http://schemas.microsoft.com/office/excel/2006/main">
          <x14:cfRule type="dataBar" id="{DD1E8EC2-57BE-4628-BF39-4C5771C987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J39</xm:sqref>
        </x14:conditionalFormatting>
        <x14:conditionalFormatting xmlns:xm="http://schemas.microsoft.com/office/excel/2006/main">
          <x14:cfRule type="dataBar" id="{CAE5EDB0-63BC-42C1-845B-5B5E0490D6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O44:R44</xm:sqref>
        </x14:conditionalFormatting>
        <x14:conditionalFormatting xmlns:xm="http://schemas.microsoft.com/office/excel/2006/main">
          <x14:cfRule type="dataBar" id="{DEC8BF66-F94D-4FB7-BBA6-2DF9A793CE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H44:I44</xm:sqref>
        </x14:conditionalFormatting>
        <x14:conditionalFormatting xmlns:xm="http://schemas.microsoft.com/office/excel/2006/main">
          <x14:cfRule type="dataBar" id="{ACC6773B-4295-4335-B506-AA659AFC22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J44:K44 T44</xm:sqref>
        </x14:conditionalFormatting>
        <x14:conditionalFormatting xmlns:xm="http://schemas.microsoft.com/office/excel/2006/main">
          <x14:cfRule type="dataBar" id="{E3208BD9-8619-495A-8B72-5BDB8663BD7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T44</xm:sqref>
        </x14:conditionalFormatting>
        <x14:conditionalFormatting xmlns:xm="http://schemas.microsoft.com/office/excel/2006/main">
          <x14:cfRule type="dataBar" id="{2F1325A1-F302-4962-B5F1-9A274EBBFFF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K44</xm:sqref>
        </x14:conditionalFormatting>
        <x14:conditionalFormatting xmlns:xm="http://schemas.microsoft.com/office/excel/2006/main">
          <x14:cfRule type="dataBar" id="{D8F61711-E72B-423B-84A1-02631B6791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J44</xm:sqref>
        </x14:conditionalFormatting>
        <x14:conditionalFormatting xmlns:xm="http://schemas.microsoft.com/office/excel/2006/main">
          <x14:cfRule type="dataBar" id="{76D86FF3-99BA-438C-89F7-DCE8FB4BF0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U44:V44</xm:sqref>
        </x14:conditionalFormatting>
        <x14:conditionalFormatting xmlns:xm="http://schemas.microsoft.com/office/excel/2006/main">
          <x14:cfRule type="dataBar" id="{DBC800B1-3F0E-4D32-B95F-D09A44AA3C0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X44</xm:sqref>
        </x14:conditionalFormatting>
        <x14:conditionalFormatting xmlns:xm="http://schemas.microsoft.com/office/excel/2006/main">
          <x14:cfRule type="dataBar" id="{A73B43B5-967E-492B-AFD1-1ADB0CF7DFA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W44</xm:sqref>
        </x14:conditionalFormatting>
        <x14:conditionalFormatting xmlns:xm="http://schemas.microsoft.com/office/excel/2006/main">
          <x14:cfRule type="dataBar" id="{2F301F71-C0B5-4AB8-921F-262799E168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C44:D44</xm:sqref>
        </x14:conditionalFormatting>
        <x14:conditionalFormatting xmlns:xm="http://schemas.microsoft.com/office/excel/2006/main">
          <x14:cfRule type="dataBar" id="{02E27E8E-598A-41B1-84D0-1805DD2F80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U48:V51</xm:sqref>
        </x14:conditionalFormatting>
        <x14:conditionalFormatting xmlns:xm="http://schemas.microsoft.com/office/excel/2006/main">
          <x14:cfRule type="dataBar" id="{3EA3972A-CC8C-42B4-A443-119E4A858B5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X48:X51</xm:sqref>
        </x14:conditionalFormatting>
        <x14:conditionalFormatting xmlns:xm="http://schemas.microsoft.com/office/excel/2006/main">
          <x14:cfRule type="dataBar" id="{727A0644-81ED-465B-AF43-A1EC771B2F8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W48:W51</xm:sqref>
        </x14:conditionalFormatting>
        <x14:conditionalFormatting xmlns:xm="http://schemas.microsoft.com/office/excel/2006/main">
          <x14:cfRule type="dataBar" id="{3A0BF157-DEAB-412A-96B8-7F1AC7755B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T48:T51</xm:sqref>
        </x14:conditionalFormatting>
        <x14:conditionalFormatting xmlns:xm="http://schemas.microsoft.com/office/excel/2006/main">
          <x14:cfRule type="dataBar" id="{AD63D117-9EBC-4F12-9A01-CAE86015EA0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K48:K51</xm:sqref>
        </x14:conditionalFormatting>
        <x14:conditionalFormatting xmlns:xm="http://schemas.microsoft.com/office/excel/2006/main">
          <x14:cfRule type="dataBar" id="{4E68B42A-406C-4D0B-AD14-89471FFC0D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J48:J51</xm:sqref>
        </x14:conditionalFormatting>
        <x14:conditionalFormatting xmlns:xm="http://schemas.microsoft.com/office/excel/2006/main">
          <x14:cfRule type="dataBar" id="{3B8EA5EB-8194-43B9-BEF0-7A89C8C2FD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O50:R50</xm:sqref>
        </x14:conditionalFormatting>
        <x14:conditionalFormatting xmlns:xm="http://schemas.microsoft.com/office/excel/2006/main">
          <x14:cfRule type="dataBar" id="{1A4117A1-CC11-46BE-8078-331DA07F86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U52:V54</xm:sqref>
        </x14:conditionalFormatting>
        <x14:conditionalFormatting xmlns:xm="http://schemas.microsoft.com/office/excel/2006/main">
          <x14:cfRule type="dataBar" id="{ED774521-91FD-4965-83B3-0016832BBF8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X52:X54</xm:sqref>
        </x14:conditionalFormatting>
        <x14:conditionalFormatting xmlns:xm="http://schemas.microsoft.com/office/excel/2006/main">
          <x14:cfRule type="dataBar" id="{96CBE86D-2008-4FC1-B46E-A6305413148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W52:W54</xm:sqref>
        </x14:conditionalFormatting>
        <x14:conditionalFormatting xmlns:xm="http://schemas.microsoft.com/office/excel/2006/main">
          <x14:cfRule type="dataBar" id="{B22BA28B-F13A-4328-AF9E-CD2861C1B74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T52:T54</xm:sqref>
        </x14:conditionalFormatting>
        <x14:conditionalFormatting xmlns:xm="http://schemas.microsoft.com/office/excel/2006/main">
          <x14:cfRule type="dataBar" id="{55FF9AAD-9D54-45DC-B097-7E293E54660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K52:K54</xm:sqref>
        </x14:conditionalFormatting>
        <x14:conditionalFormatting xmlns:xm="http://schemas.microsoft.com/office/excel/2006/main">
          <x14:cfRule type="dataBar" id="{86796A37-36F0-4DBE-A0D3-361C6D30EF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J52:J54</xm:sqref>
        </x14:conditionalFormatting>
        <x14:conditionalFormatting xmlns:xm="http://schemas.microsoft.com/office/excel/2006/main">
          <x14:cfRule type="dataBar" id="{185F4694-C12F-49BC-ACA7-A93609DE36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O52:R52</xm:sqref>
        </x14:conditionalFormatting>
        <x14:conditionalFormatting xmlns:xm="http://schemas.microsoft.com/office/excel/2006/main">
          <x14:cfRule type="dataBar" id="{4C30F3B6-61B4-45B0-84D5-8E92AF7F2D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O53:R53</xm:sqref>
        </x14:conditionalFormatting>
        <x14:conditionalFormatting xmlns:xm="http://schemas.microsoft.com/office/excel/2006/main">
          <x14:cfRule type="dataBar" id="{DA0CE42B-6F38-4E6F-A973-32712CCF5D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O54:R54</xm:sqref>
        </x14:conditionalFormatting>
        <x14:conditionalFormatting xmlns:xm="http://schemas.microsoft.com/office/excel/2006/main">
          <x14:cfRule type="dataBar" id="{423B4612-FE3A-41EB-9783-9B95145489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U56:V61</xm:sqref>
        </x14:conditionalFormatting>
        <x14:conditionalFormatting xmlns:xm="http://schemas.microsoft.com/office/excel/2006/main">
          <x14:cfRule type="dataBar" id="{5739F4B4-3EA3-468D-A6B9-636165A793D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X56:X61</xm:sqref>
        </x14:conditionalFormatting>
        <x14:conditionalFormatting xmlns:xm="http://schemas.microsoft.com/office/excel/2006/main">
          <x14:cfRule type="dataBar" id="{E941BE56-D44D-4B88-B109-FA395468725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W56:W61</xm:sqref>
        </x14:conditionalFormatting>
        <x14:conditionalFormatting xmlns:xm="http://schemas.microsoft.com/office/excel/2006/main">
          <x14:cfRule type="dataBar" id="{49138B33-92DE-4618-9179-F3423AE5092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T56:T61</xm:sqref>
        </x14:conditionalFormatting>
        <x14:conditionalFormatting xmlns:xm="http://schemas.microsoft.com/office/excel/2006/main">
          <x14:cfRule type="dataBar" id="{9DBBE363-4F62-4F7B-8774-009A4DC7A0A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K56:K61</xm:sqref>
        </x14:conditionalFormatting>
        <x14:conditionalFormatting xmlns:xm="http://schemas.microsoft.com/office/excel/2006/main">
          <x14:cfRule type="dataBar" id="{525E7B86-CA07-4EEB-951C-A90D5D5FAA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J56:J61</xm:sqref>
        </x14:conditionalFormatting>
        <x14:conditionalFormatting xmlns:xm="http://schemas.microsoft.com/office/excel/2006/main">
          <x14:cfRule type="dataBar" id="{3EFD77BD-DDE9-4372-B5BE-1FAC1D3B1A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U62:V62</xm:sqref>
        </x14:conditionalFormatting>
        <x14:conditionalFormatting xmlns:xm="http://schemas.microsoft.com/office/excel/2006/main">
          <x14:cfRule type="dataBar" id="{6EE32B6D-83EF-488A-9CD1-BF124EB80DF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X62</xm:sqref>
        </x14:conditionalFormatting>
        <x14:conditionalFormatting xmlns:xm="http://schemas.microsoft.com/office/excel/2006/main">
          <x14:cfRule type="dataBar" id="{79A82110-9528-431D-A81C-F90DC64F289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W62</xm:sqref>
        </x14:conditionalFormatting>
        <x14:conditionalFormatting xmlns:xm="http://schemas.microsoft.com/office/excel/2006/main">
          <x14:cfRule type="dataBar" id="{38459F0A-B19D-43D5-81C9-CE85833CBED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T62</xm:sqref>
        </x14:conditionalFormatting>
        <x14:conditionalFormatting xmlns:xm="http://schemas.microsoft.com/office/excel/2006/main">
          <x14:cfRule type="dataBar" id="{8011AC4B-1432-4CAD-8992-066005A7D38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K62</xm:sqref>
        </x14:conditionalFormatting>
        <x14:conditionalFormatting xmlns:xm="http://schemas.microsoft.com/office/excel/2006/main">
          <x14:cfRule type="dataBar" id="{C74B255E-0F0A-4E6C-8EE6-662398A966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J62</xm:sqref>
        </x14:conditionalFormatting>
        <x14:conditionalFormatting xmlns:xm="http://schemas.microsoft.com/office/excel/2006/main">
          <x14:cfRule type="dataBar" id="{516D3632-5E0F-4EDB-B035-80F41ED759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O55:R55</xm:sqref>
        </x14:conditionalFormatting>
        <x14:conditionalFormatting xmlns:xm="http://schemas.microsoft.com/office/excel/2006/main">
          <x14:cfRule type="dataBar" id="{2BC496E4-2C6D-493B-B8AB-5D6D61AFB6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O60:R60</xm:sqref>
        </x14:conditionalFormatting>
        <x14:conditionalFormatting xmlns:xm="http://schemas.microsoft.com/office/excel/2006/main">
          <x14:cfRule type="dataBar" id="{8435AEE2-C22D-4115-BBE5-1A635FAC8B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U63:V63</xm:sqref>
        </x14:conditionalFormatting>
        <x14:conditionalFormatting xmlns:xm="http://schemas.microsoft.com/office/excel/2006/main">
          <x14:cfRule type="dataBar" id="{E45B7614-0F58-44F8-96DB-FADE1C7E51C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X63</xm:sqref>
        </x14:conditionalFormatting>
        <x14:conditionalFormatting xmlns:xm="http://schemas.microsoft.com/office/excel/2006/main">
          <x14:cfRule type="dataBar" id="{9A83EFD1-6221-4619-A6FE-0D4FB48BF2E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W63</xm:sqref>
        </x14:conditionalFormatting>
        <x14:conditionalFormatting xmlns:xm="http://schemas.microsoft.com/office/excel/2006/main">
          <x14:cfRule type="dataBar" id="{15E051E0-363A-4F9C-9ED4-E2605354A25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T63</xm:sqref>
        </x14:conditionalFormatting>
        <x14:conditionalFormatting xmlns:xm="http://schemas.microsoft.com/office/excel/2006/main">
          <x14:cfRule type="dataBar" id="{82E22D97-4AD5-4022-A129-973E6623638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K63</xm:sqref>
        </x14:conditionalFormatting>
        <x14:conditionalFormatting xmlns:xm="http://schemas.microsoft.com/office/excel/2006/main">
          <x14:cfRule type="dataBar" id="{6816CAB0-1659-4170-AFEE-FC6C6E5EBF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J63</xm:sqref>
        </x14:conditionalFormatting>
        <x14:conditionalFormatting xmlns:xm="http://schemas.microsoft.com/office/excel/2006/main">
          <x14:cfRule type="dataBar" id="{05248DC3-98F3-4D11-92B8-07D7108C29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U64:V66</xm:sqref>
        </x14:conditionalFormatting>
        <x14:conditionalFormatting xmlns:xm="http://schemas.microsoft.com/office/excel/2006/main">
          <x14:cfRule type="dataBar" id="{06F3EC34-D0A9-47C0-929F-2F505F3BADB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X64:X66</xm:sqref>
        </x14:conditionalFormatting>
        <x14:conditionalFormatting xmlns:xm="http://schemas.microsoft.com/office/excel/2006/main">
          <x14:cfRule type="dataBar" id="{9BEB08D2-F795-4006-A048-DF39BD657B2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W64:W66</xm:sqref>
        </x14:conditionalFormatting>
        <x14:conditionalFormatting xmlns:xm="http://schemas.microsoft.com/office/excel/2006/main">
          <x14:cfRule type="dataBar" id="{6F3A4567-95B3-4E6E-AE65-39123E88437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T64:T66</xm:sqref>
        </x14:conditionalFormatting>
        <x14:conditionalFormatting xmlns:xm="http://schemas.microsoft.com/office/excel/2006/main">
          <x14:cfRule type="dataBar" id="{62D6EE25-1E09-4C9D-875E-DF34AB99BB1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K64:K66</xm:sqref>
        </x14:conditionalFormatting>
        <x14:conditionalFormatting xmlns:xm="http://schemas.microsoft.com/office/excel/2006/main">
          <x14:cfRule type="dataBar" id="{C5DD982A-058C-4491-A3E2-A16520F1A6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J64:J66</xm:sqref>
        </x14:conditionalFormatting>
        <x14:conditionalFormatting xmlns:xm="http://schemas.microsoft.com/office/excel/2006/main">
          <x14:cfRule type="dataBar" id="{326E308D-8EDA-4046-8220-E65FF15F5D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O64:R64</xm:sqref>
        </x14:conditionalFormatting>
        <x14:conditionalFormatting xmlns:xm="http://schemas.microsoft.com/office/excel/2006/main">
          <x14:cfRule type="dataBar" id="{A4D7B260-69FB-4D07-8190-7A78E555FD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U67:V69</xm:sqref>
        </x14:conditionalFormatting>
        <x14:conditionalFormatting xmlns:xm="http://schemas.microsoft.com/office/excel/2006/main">
          <x14:cfRule type="dataBar" id="{9F3972B5-1CEA-48C6-AA37-D5826EF8C9F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X67:X69</xm:sqref>
        </x14:conditionalFormatting>
        <x14:conditionalFormatting xmlns:xm="http://schemas.microsoft.com/office/excel/2006/main">
          <x14:cfRule type="dataBar" id="{18C87C05-9E6E-4E06-8A8C-BCD943D4315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W67:W69</xm:sqref>
        </x14:conditionalFormatting>
        <x14:conditionalFormatting xmlns:xm="http://schemas.microsoft.com/office/excel/2006/main">
          <x14:cfRule type="dataBar" id="{135FBEEF-4122-466F-86FF-0ACE10126CF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T67:T69</xm:sqref>
        </x14:conditionalFormatting>
        <x14:conditionalFormatting xmlns:xm="http://schemas.microsoft.com/office/excel/2006/main">
          <x14:cfRule type="dataBar" id="{4CF5D8A6-3C3B-408E-A2FC-E761D5F74AE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K67:K69</xm:sqref>
        </x14:conditionalFormatting>
        <x14:conditionalFormatting xmlns:xm="http://schemas.microsoft.com/office/excel/2006/main">
          <x14:cfRule type="dataBar" id="{91618CDC-1233-4FDB-8784-8194C57D1C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J67:J69</xm:sqref>
        </x14:conditionalFormatting>
        <x14:conditionalFormatting xmlns:xm="http://schemas.microsoft.com/office/excel/2006/main">
          <x14:cfRule type="dataBar" id="{A39C12C6-2872-414D-8A5C-8024AB2116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O66:R66</xm:sqref>
        </x14:conditionalFormatting>
        <x14:conditionalFormatting xmlns:xm="http://schemas.microsoft.com/office/excel/2006/main">
          <x14:cfRule type="dataBar" id="{970EB8AE-C1C9-41DA-80FE-DD4F1E77D6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O68:R68</xm:sqref>
        </x14:conditionalFormatting>
        <x14:conditionalFormatting xmlns:xm="http://schemas.microsoft.com/office/excel/2006/main">
          <x14:cfRule type="dataBar" id="{AE51E1A8-2B24-4DAE-B999-4AB286642B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G71</xm:sqref>
        </x14:conditionalFormatting>
        <x14:conditionalFormatting xmlns:xm="http://schemas.microsoft.com/office/excel/2006/main">
          <x14:cfRule type="dataBar" id="{809CC1F3-9529-46B5-806F-1DD55A1532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O71:R71</xm:sqref>
        </x14:conditionalFormatting>
        <x14:conditionalFormatting xmlns:xm="http://schemas.microsoft.com/office/excel/2006/main">
          <x14:cfRule type="dataBar" id="{2F522445-9755-4E31-AA04-A7B49B6CEF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U72:V72</xm:sqref>
        </x14:conditionalFormatting>
        <x14:conditionalFormatting xmlns:xm="http://schemas.microsoft.com/office/excel/2006/main">
          <x14:cfRule type="dataBar" id="{98261204-1818-4A1D-A669-7864934E95F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X72</xm:sqref>
        </x14:conditionalFormatting>
        <x14:conditionalFormatting xmlns:xm="http://schemas.microsoft.com/office/excel/2006/main">
          <x14:cfRule type="dataBar" id="{B6D8A33C-771C-4B60-994D-2B2BCDD0637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W72</xm:sqref>
        </x14:conditionalFormatting>
        <x14:conditionalFormatting xmlns:xm="http://schemas.microsoft.com/office/excel/2006/main">
          <x14:cfRule type="dataBar" id="{BF41F130-5B39-4C29-99EE-E30DCF116E6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T72</xm:sqref>
        </x14:conditionalFormatting>
        <x14:conditionalFormatting xmlns:xm="http://schemas.microsoft.com/office/excel/2006/main">
          <x14:cfRule type="dataBar" id="{7C752EA9-D036-4056-8FFE-E1FA3F8C4E8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K72</xm:sqref>
        </x14:conditionalFormatting>
        <x14:conditionalFormatting xmlns:xm="http://schemas.microsoft.com/office/excel/2006/main">
          <x14:cfRule type="dataBar" id="{84845886-0A0D-45AE-B2C5-900E785352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J72</xm:sqref>
        </x14:conditionalFormatting>
        <x14:conditionalFormatting xmlns:xm="http://schemas.microsoft.com/office/excel/2006/main">
          <x14:cfRule type="dataBar" id="{2D6A92F3-77CA-4B36-B78E-97A6DD95D0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G72</xm:sqref>
        </x14:conditionalFormatting>
        <x14:conditionalFormatting xmlns:xm="http://schemas.microsoft.com/office/excel/2006/main">
          <x14:cfRule type="dataBar" id="{EBDBBF26-ED8C-43CE-9160-46A02215BE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O72:R72</xm:sqref>
        </x14:conditionalFormatting>
        <x14:conditionalFormatting xmlns:xm="http://schemas.microsoft.com/office/excel/2006/main">
          <x14:cfRule type="dataBar" id="{813719E9-CC86-4D99-BC30-0077CA5618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U73:V73</xm:sqref>
        </x14:conditionalFormatting>
        <x14:conditionalFormatting xmlns:xm="http://schemas.microsoft.com/office/excel/2006/main">
          <x14:cfRule type="dataBar" id="{3BF98514-86A1-4D1B-BD09-B950CB36CB1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X73</xm:sqref>
        </x14:conditionalFormatting>
        <x14:conditionalFormatting xmlns:xm="http://schemas.microsoft.com/office/excel/2006/main">
          <x14:cfRule type="dataBar" id="{3F9AF4B1-7E00-48F7-B81F-2B852116739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W73</xm:sqref>
        </x14:conditionalFormatting>
        <x14:conditionalFormatting xmlns:xm="http://schemas.microsoft.com/office/excel/2006/main">
          <x14:cfRule type="dataBar" id="{1DE070A1-2ABC-4AEE-A0F2-98C64B84CE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T73</xm:sqref>
        </x14:conditionalFormatting>
        <x14:conditionalFormatting xmlns:xm="http://schemas.microsoft.com/office/excel/2006/main">
          <x14:cfRule type="dataBar" id="{00EAE45A-B430-4614-A44A-57CC29E8502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K73</xm:sqref>
        </x14:conditionalFormatting>
        <x14:conditionalFormatting xmlns:xm="http://schemas.microsoft.com/office/excel/2006/main">
          <x14:cfRule type="dataBar" id="{CE5A56AA-1FE1-4D5F-BD8A-C1F6BB3C87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J73</xm:sqref>
        </x14:conditionalFormatting>
        <x14:conditionalFormatting xmlns:xm="http://schemas.microsoft.com/office/excel/2006/main">
          <x14:cfRule type="dataBar" id="{A36B1D1E-4EF0-43B9-885D-7B3D9381ED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G73</xm:sqref>
        </x14:conditionalFormatting>
        <x14:conditionalFormatting xmlns:xm="http://schemas.microsoft.com/office/excel/2006/main">
          <x14:cfRule type="dataBar" id="{E2DA143B-7291-4549-A2ED-A5ABD28A81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O73:R73</xm:sqref>
        </x14:conditionalFormatting>
        <x14:conditionalFormatting xmlns:xm="http://schemas.microsoft.com/office/excel/2006/main">
          <x14:cfRule type="dataBar" id="{F0F48BE7-8FDC-469A-84A5-EFD1482B8A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U74:V74</xm:sqref>
        </x14:conditionalFormatting>
        <x14:conditionalFormatting xmlns:xm="http://schemas.microsoft.com/office/excel/2006/main">
          <x14:cfRule type="dataBar" id="{EA4433F8-2726-4776-88B1-AC5D01FAB9F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X74</xm:sqref>
        </x14:conditionalFormatting>
        <x14:conditionalFormatting xmlns:xm="http://schemas.microsoft.com/office/excel/2006/main">
          <x14:cfRule type="dataBar" id="{59A32617-4F95-4BA0-872D-DF7CC9F062C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W74</xm:sqref>
        </x14:conditionalFormatting>
        <x14:conditionalFormatting xmlns:xm="http://schemas.microsoft.com/office/excel/2006/main">
          <x14:cfRule type="dataBar" id="{55769C0F-6F64-4AD7-A6D6-B2285C85B0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T74</xm:sqref>
        </x14:conditionalFormatting>
        <x14:conditionalFormatting xmlns:xm="http://schemas.microsoft.com/office/excel/2006/main">
          <x14:cfRule type="dataBar" id="{07DF8DE4-508F-4F0D-AEDD-D56FB9E4F3E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K74</xm:sqref>
        </x14:conditionalFormatting>
        <x14:conditionalFormatting xmlns:xm="http://schemas.microsoft.com/office/excel/2006/main">
          <x14:cfRule type="dataBar" id="{2261B70F-888A-477E-9C80-017B1121C0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J74</xm:sqref>
        </x14:conditionalFormatting>
        <x14:conditionalFormatting xmlns:xm="http://schemas.microsoft.com/office/excel/2006/main">
          <x14:cfRule type="dataBar" id="{F88A2F82-3C17-4EA0-8081-591C22FF9F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G74</xm:sqref>
        </x14:conditionalFormatting>
        <x14:conditionalFormatting xmlns:xm="http://schemas.microsoft.com/office/excel/2006/main">
          <x14:cfRule type="dataBar" id="{4386A643-C63A-4682-9AE2-B6637ED6A5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O74:R74</xm:sqref>
        </x14:conditionalFormatting>
        <x14:conditionalFormatting xmlns:xm="http://schemas.microsoft.com/office/excel/2006/main">
          <x14:cfRule type="dataBar" id="{3C6F961E-F1B3-4C26-84EE-891B07AE9F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G77</xm:sqref>
        </x14:conditionalFormatting>
        <x14:conditionalFormatting xmlns:xm="http://schemas.microsoft.com/office/excel/2006/main">
          <x14:cfRule type="dataBar" id="{9765F362-3850-4857-9DEF-400BFCF9DF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U78:V80</xm:sqref>
        </x14:conditionalFormatting>
        <x14:conditionalFormatting xmlns:xm="http://schemas.microsoft.com/office/excel/2006/main">
          <x14:cfRule type="dataBar" id="{A0B0D22B-EBB8-4304-9FC2-BFEA504E9B1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X78:X80</xm:sqref>
        </x14:conditionalFormatting>
        <x14:conditionalFormatting xmlns:xm="http://schemas.microsoft.com/office/excel/2006/main">
          <x14:cfRule type="dataBar" id="{2B591018-C1CB-426F-976F-EC83177BE7E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W78:W80</xm:sqref>
        </x14:conditionalFormatting>
        <x14:conditionalFormatting xmlns:xm="http://schemas.microsoft.com/office/excel/2006/main">
          <x14:cfRule type="dataBar" id="{D0035FDA-EEB6-4AB1-9F08-92B4B7738C9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T78:T80</xm:sqref>
        </x14:conditionalFormatting>
        <x14:conditionalFormatting xmlns:xm="http://schemas.microsoft.com/office/excel/2006/main">
          <x14:cfRule type="dataBar" id="{9372240B-DE1D-4876-AAB3-2C51278187D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K78:K80</xm:sqref>
        </x14:conditionalFormatting>
        <x14:conditionalFormatting xmlns:xm="http://schemas.microsoft.com/office/excel/2006/main">
          <x14:cfRule type="dataBar" id="{9922EA54-E751-4827-BCEF-99FE3ABA42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J78:J80</xm:sqref>
        </x14:conditionalFormatting>
        <x14:conditionalFormatting xmlns:xm="http://schemas.microsoft.com/office/excel/2006/main">
          <x14:cfRule type="dataBar" id="{C661401C-34B4-47A1-A7F1-301AF1228B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G78:G80</xm:sqref>
        </x14:conditionalFormatting>
        <x14:conditionalFormatting xmlns:xm="http://schemas.microsoft.com/office/excel/2006/main">
          <x14:cfRule type="dataBar" id="{6031D697-3604-48E6-AF4E-85061AE56E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U81:V81</xm:sqref>
        </x14:conditionalFormatting>
        <x14:conditionalFormatting xmlns:xm="http://schemas.microsoft.com/office/excel/2006/main">
          <x14:cfRule type="dataBar" id="{B62FBBC3-5AAD-4D06-9363-B99BFAFC060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X81</xm:sqref>
        </x14:conditionalFormatting>
        <x14:conditionalFormatting xmlns:xm="http://schemas.microsoft.com/office/excel/2006/main">
          <x14:cfRule type="dataBar" id="{C0CAC1F8-61F1-44EF-BA59-125CF681F4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W81</xm:sqref>
        </x14:conditionalFormatting>
        <x14:conditionalFormatting xmlns:xm="http://schemas.microsoft.com/office/excel/2006/main">
          <x14:cfRule type="dataBar" id="{51DBDE0C-EA23-44ED-9CFE-41443FCD742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T81</xm:sqref>
        </x14:conditionalFormatting>
        <x14:conditionalFormatting xmlns:xm="http://schemas.microsoft.com/office/excel/2006/main">
          <x14:cfRule type="dataBar" id="{DC0133E2-54C0-4ACC-821C-352EC01F073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K81</xm:sqref>
        </x14:conditionalFormatting>
        <x14:conditionalFormatting xmlns:xm="http://schemas.microsoft.com/office/excel/2006/main">
          <x14:cfRule type="dataBar" id="{9DF874A7-F5EF-4BA5-857A-342898DF6C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J81</xm:sqref>
        </x14:conditionalFormatting>
        <x14:conditionalFormatting xmlns:xm="http://schemas.microsoft.com/office/excel/2006/main">
          <x14:cfRule type="dataBar" id="{80FAEAFF-B9BD-44ED-9CC9-1B06A7FFC9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G81</xm:sqref>
        </x14:conditionalFormatting>
        <x14:conditionalFormatting xmlns:xm="http://schemas.microsoft.com/office/excel/2006/main">
          <x14:cfRule type="dataBar" id="{19EFE3DB-E7DE-4216-AF56-CA0F4D8C45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U82:V82</xm:sqref>
        </x14:conditionalFormatting>
        <x14:conditionalFormatting xmlns:xm="http://schemas.microsoft.com/office/excel/2006/main">
          <x14:cfRule type="dataBar" id="{BD2DEA8D-146E-4D2D-95CA-3DF484BD1EC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X82</xm:sqref>
        </x14:conditionalFormatting>
        <x14:conditionalFormatting xmlns:xm="http://schemas.microsoft.com/office/excel/2006/main">
          <x14:cfRule type="dataBar" id="{37503893-B92B-4552-9FCF-A6C404C7C57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W82</xm:sqref>
        </x14:conditionalFormatting>
        <x14:conditionalFormatting xmlns:xm="http://schemas.microsoft.com/office/excel/2006/main">
          <x14:cfRule type="dataBar" id="{AD0B2245-26AF-45BA-A741-9C9F615DC9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T82</xm:sqref>
        </x14:conditionalFormatting>
        <x14:conditionalFormatting xmlns:xm="http://schemas.microsoft.com/office/excel/2006/main">
          <x14:cfRule type="dataBar" id="{F9D5A097-556E-4B26-85AC-5F0871BACE4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K82</xm:sqref>
        </x14:conditionalFormatting>
        <x14:conditionalFormatting xmlns:xm="http://schemas.microsoft.com/office/excel/2006/main">
          <x14:cfRule type="dataBar" id="{66F664D1-0DF7-4785-886F-43791252EE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J82</xm:sqref>
        </x14:conditionalFormatting>
        <x14:conditionalFormatting xmlns:xm="http://schemas.microsoft.com/office/excel/2006/main">
          <x14:cfRule type="dataBar" id="{235935BE-3DF9-4B77-A582-DE24ECE80C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G82</xm:sqref>
        </x14:conditionalFormatting>
        <x14:conditionalFormatting xmlns:xm="http://schemas.microsoft.com/office/excel/2006/main">
          <x14:cfRule type="dataBar" id="{194A5668-38B7-4F47-92A7-8AECC60DAC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U83:V83</xm:sqref>
        </x14:conditionalFormatting>
        <x14:conditionalFormatting xmlns:xm="http://schemas.microsoft.com/office/excel/2006/main">
          <x14:cfRule type="dataBar" id="{6DF1274F-D930-479E-AE5D-74CC2011915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X83</xm:sqref>
        </x14:conditionalFormatting>
        <x14:conditionalFormatting xmlns:xm="http://schemas.microsoft.com/office/excel/2006/main">
          <x14:cfRule type="dataBar" id="{023B8306-2F2D-44A7-82F8-ECF06A1EE92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W83</xm:sqref>
        </x14:conditionalFormatting>
        <x14:conditionalFormatting xmlns:xm="http://schemas.microsoft.com/office/excel/2006/main">
          <x14:cfRule type="dataBar" id="{13D66151-20BC-4566-9A91-B0497B85EE2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T83</xm:sqref>
        </x14:conditionalFormatting>
        <x14:conditionalFormatting xmlns:xm="http://schemas.microsoft.com/office/excel/2006/main">
          <x14:cfRule type="dataBar" id="{06982BA5-F875-4791-89ED-0D0C152A6D1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K83</xm:sqref>
        </x14:conditionalFormatting>
        <x14:conditionalFormatting xmlns:xm="http://schemas.microsoft.com/office/excel/2006/main">
          <x14:cfRule type="dataBar" id="{31519A67-EA37-4FCB-AE4C-ACE94FBA61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J83</xm:sqref>
        </x14:conditionalFormatting>
        <x14:conditionalFormatting xmlns:xm="http://schemas.microsoft.com/office/excel/2006/main">
          <x14:cfRule type="dataBar" id="{FADEA024-36D0-495B-BCFA-5FD643B542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G83</xm:sqref>
        </x14:conditionalFormatting>
        <x14:conditionalFormatting xmlns:xm="http://schemas.microsoft.com/office/excel/2006/main">
          <x14:cfRule type="dataBar" id="{B49C238C-58B4-40D5-AB34-64B00B3CD1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U113:V117</xm:sqref>
        </x14:conditionalFormatting>
        <x14:conditionalFormatting xmlns:xm="http://schemas.microsoft.com/office/excel/2006/main">
          <x14:cfRule type="dataBar" id="{82D8DE21-FEE5-4A60-990F-E0BE4170DF6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X113:X117</xm:sqref>
        </x14:conditionalFormatting>
        <x14:conditionalFormatting xmlns:xm="http://schemas.microsoft.com/office/excel/2006/main">
          <x14:cfRule type="dataBar" id="{DC01C2BE-F436-48A7-9CEC-6260D91CAA2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W113:W117</xm:sqref>
        </x14:conditionalFormatting>
        <x14:conditionalFormatting xmlns:xm="http://schemas.microsoft.com/office/excel/2006/main">
          <x14:cfRule type="dataBar" id="{705FF53A-92F6-4F29-B473-0878867051A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T113:T117</xm:sqref>
        </x14:conditionalFormatting>
        <x14:conditionalFormatting xmlns:xm="http://schemas.microsoft.com/office/excel/2006/main">
          <x14:cfRule type="dataBar" id="{A3FC8FF1-56DD-4337-B4C7-E7708775F2E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K113:K117</xm:sqref>
        </x14:conditionalFormatting>
        <x14:conditionalFormatting xmlns:xm="http://schemas.microsoft.com/office/excel/2006/main">
          <x14:cfRule type="dataBar" id="{6EFAB747-322A-474A-B726-1369DE338F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J113:J117</xm:sqref>
        </x14:conditionalFormatting>
        <x14:conditionalFormatting xmlns:xm="http://schemas.microsoft.com/office/excel/2006/main">
          <x14:cfRule type="dataBar" id="{5108E02D-D675-4494-BF3A-71FCAE5DB5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U85:V91</xm:sqref>
        </x14:conditionalFormatting>
        <x14:conditionalFormatting xmlns:xm="http://schemas.microsoft.com/office/excel/2006/main">
          <x14:cfRule type="dataBar" id="{2D1B0983-7629-48D1-B743-6FAE28782E6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X85:X91</xm:sqref>
        </x14:conditionalFormatting>
        <x14:conditionalFormatting xmlns:xm="http://schemas.microsoft.com/office/excel/2006/main">
          <x14:cfRule type="dataBar" id="{E74368CC-C1FE-445E-8D5C-D95F49229D7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W85:W91</xm:sqref>
        </x14:conditionalFormatting>
        <x14:conditionalFormatting xmlns:xm="http://schemas.microsoft.com/office/excel/2006/main">
          <x14:cfRule type="dataBar" id="{27FD90B0-B0AD-4C94-AC3E-59BEEBB7AD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T85:T91</xm:sqref>
        </x14:conditionalFormatting>
        <x14:conditionalFormatting xmlns:xm="http://schemas.microsoft.com/office/excel/2006/main">
          <x14:cfRule type="dataBar" id="{E1782B17-8CFE-4F0E-92F8-F464F4237BA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K85:K91</xm:sqref>
        </x14:conditionalFormatting>
        <x14:conditionalFormatting xmlns:xm="http://schemas.microsoft.com/office/excel/2006/main">
          <x14:cfRule type="dataBar" id="{BD884B67-D340-4CB5-A28B-EA96DD3C35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J85:J91</xm:sqref>
        </x14:conditionalFormatting>
        <x14:conditionalFormatting xmlns:xm="http://schemas.microsoft.com/office/excel/2006/main">
          <x14:cfRule type="dataBar" id="{9D936A24-24B1-474F-934F-A447D11983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U92:V93</xm:sqref>
        </x14:conditionalFormatting>
        <x14:conditionalFormatting xmlns:xm="http://schemas.microsoft.com/office/excel/2006/main">
          <x14:cfRule type="dataBar" id="{E85193B6-7B07-4123-B79B-26D2E5E60B7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X92:X93</xm:sqref>
        </x14:conditionalFormatting>
        <x14:conditionalFormatting xmlns:xm="http://schemas.microsoft.com/office/excel/2006/main">
          <x14:cfRule type="dataBar" id="{8E3B8EC9-2FE8-4647-8D84-A45C22ABFEE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W92:W93</xm:sqref>
        </x14:conditionalFormatting>
        <x14:conditionalFormatting xmlns:xm="http://schemas.microsoft.com/office/excel/2006/main">
          <x14:cfRule type="dataBar" id="{04C72A32-0080-4810-989F-C7E0FB39CD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U94:V95</xm:sqref>
        </x14:conditionalFormatting>
        <x14:conditionalFormatting xmlns:xm="http://schemas.microsoft.com/office/excel/2006/main">
          <x14:cfRule type="dataBar" id="{A479EE9E-92C3-490E-B7A3-EE73F46FD6B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X94:X95</xm:sqref>
        </x14:conditionalFormatting>
        <x14:conditionalFormatting xmlns:xm="http://schemas.microsoft.com/office/excel/2006/main">
          <x14:cfRule type="dataBar" id="{EF15D60F-64FD-4EFE-B6EB-2169963D963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W94:W95</xm:sqref>
        </x14:conditionalFormatting>
        <x14:conditionalFormatting xmlns:xm="http://schemas.microsoft.com/office/excel/2006/main">
          <x14:cfRule type="dataBar" id="{7DCF657E-E5CE-4728-B29D-822815CCFB0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T94:T95</xm:sqref>
        </x14:conditionalFormatting>
        <x14:conditionalFormatting xmlns:xm="http://schemas.microsoft.com/office/excel/2006/main">
          <x14:cfRule type="dataBar" id="{9215BA4E-A47E-409E-AC8B-0D36860FBA2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K94:K95</xm:sqref>
        </x14:conditionalFormatting>
        <x14:conditionalFormatting xmlns:xm="http://schemas.microsoft.com/office/excel/2006/main">
          <x14:cfRule type="dataBar" id="{17C4B26E-BCBB-483E-B3F5-788B83AFB2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J94:J95</xm:sqref>
        </x14:conditionalFormatting>
        <x14:conditionalFormatting xmlns:xm="http://schemas.microsoft.com/office/excel/2006/main">
          <x14:cfRule type="dataBar" id="{FDBB3647-7252-4DC1-88C9-3B607A891B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T92:T93 J92:K93</xm:sqref>
        </x14:conditionalFormatting>
        <x14:conditionalFormatting xmlns:xm="http://schemas.microsoft.com/office/excel/2006/main">
          <x14:cfRule type="dataBar" id="{70E69E2A-CCEE-4944-91D9-F3DAFF5A9FE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T92:T93</xm:sqref>
        </x14:conditionalFormatting>
        <x14:conditionalFormatting xmlns:xm="http://schemas.microsoft.com/office/excel/2006/main">
          <x14:cfRule type="dataBar" id="{B497D3F8-E4A2-44D7-A6CC-A2FCB3BCC44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K92:K93</xm:sqref>
        </x14:conditionalFormatting>
        <x14:conditionalFormatting xmlns:xm="http://schemas.microsoft.com/office/excel/2006/main">
          <x14:cfRule type="dataBar" id="{59FE3844-2BEA-4A5D-85B4-14D6F6575E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J92:J93</xm:sqref>
        </x14:conditionalFormatting>
        <x14:conditionalFormatting xmlns:xm="http://schemas.microsoft.com/office/excel/2006/main">
          <x14:cfRule type="dataBar" id="{A72E9396-6D85-4D74-AF3E-7AA4E6CC25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U97:V101</xm:sqref>
        </x14:conditionalFormatting>
        <x14:conditionalFormatting xmlns:xm="http://schemas.microsoft.com/office/excel/2006/main">
          <x14:cfRule type="dataBar" id="{B77928C1-1AE3-454D-8335-70160D41184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X97:X101</xm:sqref>
        </x14:conditionalFormatting>
        <x14:conditionalFormatting xmlns:xm="http://schemas.microsoft.com/office/excel/2006/main">
          <x14:cfRule type="dataBar" id="{0B721C77-1CA3-4468-BABC-0CFED971F99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W97:W101</xm:sqref>
        </x14:conditionalFormatting>
        <x14:conditionalFormatting xmlns:xm="http://schemas.microsoft.com/office/excel/2006/main">
          <x14:cfRule type="dataBar" id="{6364EC78-AE0A-42F7-86A4-91E7AA2FE2E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T97:T101</xm:sqref>
        </x14:conditionalFormatting>
        <x14:conditionalFormatting xmlns:xm="http://schemas.microsoft.com/office/excel/2006/main">
          <x14:cfRule type="dataBar" id="{C4AEA15C-D49F-4512-8C25-121F8092DFD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K97:K101</xm:sqref>
        </x14:conditionalFormatting>
        <x14:conditionalFormatting xmlns:xm="http://schemas.microsoft.com/office/excel/2006/main">
          <x14:cfRule type="dataBar" id="{CF6CDD4D-88B9-4F0A-B680-A7A4E7A991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J97:J101</xm:sqref>
        </x14:conditionalFormatting>
        <x14:conditionalFormatting xmlns:xm="http://schemas.microsoft.com/office/excel/2006/main">
          <x14:cfRule type="dataBar" id="{4C5A161E-AD02-40A8-9741-6A152371FE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U110:V110</xm:sqref>
        </x14:conditionalFormatting>
        <x14:conditionalFormatting xmlns:xm="http://schemas.microsoft.com/office/excel/2006/main">
          <x14:cfRule type="dataBar" id="{36411C74-5E15-42AA-B948-E69C23C4E31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X110</xm:sqref>
        </x14:conditionalFormatting>
        <x14:conditionalFormatting xmlns:xm="http://schemas.microsoft.com/office/excel/2006/main">
          <x14:cfRule type="dataBar" id="{2080C98F-CB18-478E-8C0A-199285DFA90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W110</xm:sqref>
        </x14:conditionalFormatting>
        <x14:conditionalFormatting xmlns:xm="http://schemas.microsoft.com/office/excel/2006/main">
          <x14:cfRule type="dataBar" id="{0A7F601E-F427-40AF-92D0-42C5852058B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T110</xm:sqref>
        </x14:conditionalFormatting>
        <x14:conditionalFormatting xmlns:xm="http://schemas.microsoft.com/office/excel/2006/main">
          <x14:cfRule type="dataBar" id="{D7C9A001-BE6D-469A-9DB3-9D591A787B0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K110</xm:sqref>
        </x14:conditionalFormatting>
        <x14:conditionalFormatting xmlns:xm="http://schemas.microsoft.com/office/excel/2006/main">
          <x14:cfRule type="dataBar" id="{05E5068A-D262-404C-B341-DE2251F65C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J110</xm:sqref>
        </x14:conditionalFormatting>
        <x14:conditionalFormatting xmlns:xm="http://schemas.microsoft.com/office/excel/2006/main">
          <x14:cfRule type="dataBar" id="{47CEAEEB-00C3-44CE-A472-DDCA142011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U111:V111</xm:sqref>
        </x14:conditionalFormatting>
        <x14:conditionalFormatting xmlns:xm="http://schemas.microsoft.com/office/excel/2006/main">
          <x14:cfRule type="dataBar" id="{F3B47E7A-9982-481E-9503-81FE0526739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X111</xm:sqref>
        </x14:conditionalFormatting>
        <x14:conditionalFormatting xmlns:xm="http://schemas.microsoft.com/office/excel/2006/main">
          <x14:cfRule type="dataBar" id="{61CCED51-7F5B-48F9-ADE9-CBB561A51DA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W111</xm:sqref>
        </x14:conditionalFormatting>
        <x14:conditionalFormatting xmlns:xm="http://schemas.microsoft.com/office/excel/2006/main">
          <x14:cfRule type="dataBar" id="{0DB09DFB-BD3F-4579-A36B-95692C29CC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T111</xm:sqref>
        </x14:conditionalFormatting>
        <x14:conditionalFormatting xmlns:xm="http://schemas.microsoft.com/office/excel/2006/main">
          <x14:cfRule type="dataBar" id="{BC6435D8-6989-4455-A67A-CD797B205C5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K111</xm:sqref>
        </x14:conditionalFormatting>
        <x14:conditionalFormatting xmlns:xm="http://schemas.microsoft.com/office/excel/2006/main">
          <x14:cfRule type="dataBar" id="{BA0EEF54-6578-4267-8BB7-0D74DFBD02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J111</xm:sqref>
        </x14:conditionalFormatting>
        <x14:conditionalFormatting xmlns:xm="http://schemas.microsoft.com/office/excel/2006/main">
          <x14:cfRule type="dataBar" id="{F9CCD9B5-FA7F-498A-85C2-8439992263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U103:V103</xm:sqref>
        </x14:conditionalFormatting>
        <x14:conditionalFormatting xmlns:xm="http://schemas.microsoft.com/office/excel/2006/main">
          <x14:cfRule type="dataBar" id="{9CD9EEA9-867A-47F2-8686-0C28D522469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X103</xm:sqref>
        </x14:conditionalFormatting>
        <x14:conditionalFormatting xmlns:xm="http://schemas.microsoft.com/office/excel/2006/main">
          <x14:cfRule type="dataBar" id="{E465DF83-1798-4E3E-B9C5-CE636E72D59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W103</xm:sqref>
        </x14:conditionalFormatting>
        <x14:conditionalFormatting xmlns:xm="http://schemas.microsoft.com/office/excel/2006/main">
          <x14:cfRule type="dataBar" id="{A675A621-E02D-4EE3-AEB9-506F997D1A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T103</xm:sqref>
        </x14:conditionalFormatting>
        <x14:conditionalFormatting xmlns:xm="http://schemas.microsoft.com/office/excel/2006/main">
          <x14:cfRule type="dataBar" id="{F7A278D6-17E6-4D2D-BA94-867DD236A1A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K103</xm:sqref>
        </x14:conditionalFormatting>
        <x14:conditionalFormatting xmlns:xm="http://schemas.microsoft.com/office/excel/2006/main">
          <x14:cfRule type="dataBar" id="{99E7BDC1-EA1E-4D87-8424-94FE7A110F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J103</xm:sqref>
        </x14:conditionalFormatting>
        <x14:conditionalFormatting xmlns:xm="http://schemas.microsoft.com/office/excel/2006/main">
          <x14:cfRule type="dataBar" id="{EF3D2FA5-33EF-4B15-8146-1E71F0F4A4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U104:V104</xm:sqref>
        </x14:conditionalFormatting>
        <x14:conditionalFormatting xmlns:xm="http://schemas.microsoft.com/office/excel/2006/main">
          <x14:cfRule type="dataBar" id="{0B00D47A-41F3-4A51-A637-38407829771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X104</xm:sqref>
        </x14:conditionalFormatting>
        <x14:conditionalFormatting xmlns:xm="http://schemas.microsoft.com/office/excel/2006/main">
          <x14:cfRule type="dataBar" id="{15E18ED3-BF41-4555-B666-32F68FB8015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W104</xm:sqref>
        </x14:conditionalFormatting>
        <x14:conditionalFormatting xmlns:xm="http://schemas.microsoft.com/office/excel/2006/main">
          <x14:cfRule type="dataBar" id="{36AC1358-FD98-4610-849B-30FFF07529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T104</xm:sqref>
        </x14:conditionalFormatting>
        <x14:conditionalFormatting xmlns:xm="http://schemas.microsoft.com/office/excel/2006/main">
          <x14:cfRule type="dataBar" id="{24DEC8CA-345C-4BE3-87B8-D7346578B25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K104</xm:sqref>
        </x14:conditionalFormatting>
        <x14:conditionalFormatting xmlns:xm="http://schemas.microsoft.com/office/excel/2006/main">
          <x14:cfRule type="dataBar" id="{26B65FAF-9C7F-4C3A-9269-F499C03C0F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J104</xm:sqref>
        </x14:conditionalFormatting>
        <x14:conditionalFormatting xmlns:xm="http://schemas.microsoft.com/office/excel/2006/main">
          <x14:cfRule type="dataBar" id="{C3D9A791-D82E-4161-84D7-71BCFFA217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U105:V105</xm:sqref>
        </x14:conditionalFormatting>
        <x14:conditionalFormatting xmlns:xm="http://schemas.microsoft.com/office/excel/2006/main">
          <x14:cfRule type="dataBar" id="{1B09AF4F-FFB4-432C-B16C-7410499F6BA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X105</xm:sqref>
        </x14:conditionalFormatting>
        <x14:conditionalFormatting xmlns:xm="http://schemas.microsoft.com/office/excel/2006/main">
          <x14:cfRule type="dataBar" id="{CCEB3E21-5566-47FE-89E9-F35B74B30F5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W105</xm:sqref>
        </x14:conditionalFormatting>
        <x14:conditionalFormatting xmlns:xm="http://schemas.microsoft.com/office/excel/2006/main">
          <x14:cfRule type="dataBar" id="{8A5A3D40-763E-444E-A8F5-85ECDD26BD7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T105</xm:sqref>
        </x14:conditionalFormatting>
        <x14:conditionalFormatting xmlns:xm="http://schemas.microsoft.com/office/excel/2006/main">
          <x14:cfRule type="dataBar" id="{28ABBFC8-41EA-4061-978D-3615507A7FA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K105</xm:sqref>
        </x14:conditionalFormatting>
        <x14:conditionalFormatting xmlns:xm="http://schemas.microsoft.com/office/excel/2006/main">
          <x14:cfRule type="dataBar" id="{AF7B7E28-9697-4B80-A524-666FDE6913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J105</xm:sqref>
        </x14:conditionalFormatting>
        <x14:conditionalFormatting xmlns:xm="http://schemas.microsoft.com/office/excel/2006/main">
          <x14:cfRule type="dataBar" id="{CC8EA1CB-D52A-4C51-95AC-CB66600749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U106:V106</xm:sqref>
        </x14:conditionalFormatting>
        <x14:conditionalFormatting xmlns:xm="http://schemas.microsoft.com/office/excel/2006/main">
          <x14:cfRule type="dataBar" id="{C3E434DF-9E22-450C-A90B-88D66AF0238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X106</xm:sqref>
        </x14:conditionalFormatting>
        <x14:conditionalFormatting xmlns:xm="http://schemas.microsoft.com/office/excel/2006/main">
          <x14:cfRule type="dataBar" id="{D6B18121-8614-4207-BB3E-3871C134489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W106</xm:sqref>
        </x14:conditionalFormatting>
        <x14:conditionalFormatting xmlns:xm="http://schemas.microsoft.com/office/excel/2006/main">
          <x14:cfRule type="dataBar" id="{2D114D0D-30DC-47CE-A343-E2AEBF1BC6C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T106</xm:sqref>
        </x14:conditionalFormatting>
        <x14:conditionalFormatting xmlns:xm="http://schemas.microsoft.com/office/excel/2006/main">
          <x14:cfRule type="dataBar" id="{1BB72B92-7770-4B50-9DF4-28E381DBB1C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K106</xm:sqref>
        </x14:conditionalFormatting>
        <x14:conditionalFormatting xmlns:xm="http://schemas.microsoft.com/office/excel/2006/main">
          <x14:cfRule type="dataBar" id="{BAB0AB3B-9A93-4F99-878E-7F65953802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J106</xm:sqref>
        </x14:conditionalFormatting>
        <x14:conditionalFormatting xmlns:xm="http://schemas.microsoft.com/office/excel/2006/main">
          <x14:cfRule type="dataBar" id="{B0CF13A0-6DD4-4183-AB1D-6876D5C6DE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U107:V107</xm:sqref>
        </x14:conditionalFormatting>
        <x14:conditionalFormatting xmlns:xm="http://schemas.microsoft.com/office/excel/2006/main">
          <x14:cfRule type="dataBar" id="{9E3E73CC-6255-4948-A6B9-4D62DF52568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X107</xm:sqref>
        </x14:conditionalFormatting>
        <x14:conditionalFormatting xmlns:xm="http://schemas.microsoft.com/office/excel/2006/main">
          <x14:cfRule type="dataBar" id="{B004863F-A67B-427A-AF87-5463D67CC0D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W107</xm:sqref>
        </x14:conditionalFormatting>
        <x14:conditionalFormatting xmlns:xm="http://schemas.microsoft.com/office/excel/2006/main">
          <x14:cfRule type="dataBar" id="{079C4277-D6F3-4847-8E6F-74BC33FCC50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T107</xm:sqref>
        </x14:conditionalFormatting>
        <x14:conditionalFormatting xmlns:xm="http://schemas.microsoft.com/office/excel/2006/main">
          <x14:cfRule type="dataBar" id="{2CCD64AF-5E1A-48E3-BD6F-35058715540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K107</xm:sqref>
        </x14:conditionalFormatting>
        <x14:conditionalFormatting xmlns:xm="http://schemas.microsoft.com/office/excel/2006/main">
          <x14:cfRule type="dataBar" id="{BA5EB3AB-20A2-4B0B-B8C3-C3F917AF26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J107</xm:sqref>
        </x14:conditionalFormatting>
        <x14:conditionalFormatting xmlns:xm="http://schemas.microsoft.com/office/excel/2006/main">
          <x14:cfRule type="dataBar" id="{AF486B41-605C-44FE-8AFB-D7A4308478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U108:V108</xm:sqref>
        </x14:conditionalFormatting>
        <x14:conditionalFormatting xmlns:xm="http://schemas.microsoft.com/office/excel/2006/main">
          <x14:cfRule type="dataBar" id="{A802B5DC-4382-4DD3-B48D-502B4998B1A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X108</xm:sqref>
        </x14:conditionalFormatting>
        <x14:conditionalFormatting xmlns:xm="http://schemas.microsoft.com/office/excel/2006/main">
          <x14:cfRule type="dataBar" id="{3DCD6C17-D153-4EB1-8E0F-E244E385B67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W108</xm:sqref>
        </x14:conditionalFormatting>
        <x14:conditionalFormatting xmlns:xm="http://schemas.microsoft.com/office/excel/2006/main">
          <x14:cfRule type="dataBar" id="{2317B02E-1445-40C4-9701-CC7168F080F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T108</xm:sqref>
        </x14:conditionalFormatting>
        <x14:conditionalFormatting xmlns:xm="http://schemas.microsoft.com/office/excel/2006/main">
          <x14:cfRule type="dataBar" id="{B0C1485C-63C2-4EBA-AA90-A5774A60348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K108</xm:sqref>
        </x14:conditionalFormatting>
        <x14:conditionalFormatting xmlns:xm="http://schemas.microsoft.com/office/excel/2006/main">
          <x14:cfRule type="dataBar" id="{680F0419-60B9-404A-8CFC-01F8DF3B2E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J108</xm:sqref>
        </x14:conditionalFormatting>
        <x14:conditionalFormatting xmlns:xm="http://schemas.microsoft.com/office/excel/2006/main">
          <x14:cfRule type="dataBar" id="{14A16575-D1F1-4CB9-84A1-E1DD9F7163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E40</xm:sqref>
        </x14:conditionalFormatting>
        <x14:conditionalFormatting xmlns:xm="http://schemas.microsoft.com/office/excel/2006/main">
          <x14:cfRule type="dataBar" id="{D003085C-7918-4C98-94AF-BC9D404C76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E42</xm:sqref>
        </x14:conditionalFormatting>
        <x14:conditionalFormatting xmlns:xm="http://schemas.microsoft.com/office/excel/2006/main">
          <x14:cfRule type="dataBar" id="{E74374D0-50E2-45EF-82D7-5F1D1852B1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E43</xm:sqref>
        </x14:conditionalFormatting>
        <x14:conditionalFormatting xmlns:xm="http://schemas.microsoft.com/office/excel/2006/main">
          <x14:cfRule type="dataBar" id="{DF399C9E-96CC-4DFC-95AB-525C6321FA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E37:I42</xm:sqref>
        </x14:conditionalFormatting>
        <x14:conditionalFormatting xmlns:xm="http://schemas.microsoft.com/office/excel/2006/main">
          <x14:cfRule type="dataBar" id="{2D83D712-40B1-4889-AA71-6E00844DF8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E44</xm:sqref>
        </x14:conditionalFormatting>
        <x14:conditionalFormatting xmlns:xm="http://schemas.microsoft.com/office/excel/2006/main">
          <x14:cfRule type="dataBar" id="{67949338-3F8C-44BD-88FC-0E68FD2CF3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E52</xm:sqref>
        </x14:conditionalFormatting>
        <x14:conditionalFormatting xmlns:xm="http://schemas.microsoft.com/office/excel/2006/main">
          <x14:cfRule type="dataBar" id="{95448E9B-E2CC-4067-ADEF-715BFC3691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E53</xm:sqref>
        </x14:conditionalFormatting>
        <x14:conditionalFormatting xmlns:xm="http://schemas.microsoft.com/office/excel/2006/main">
          <x14:cfRule type="dataBar" id="{684B7601-70C7-412C-BED7-55A6EAEDC9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E54</xm:sqref>
        </x14:conditionalFormatting>
        <x14:conditionalFormatting xmlns:xm="http://schemas.microsoft.com/office/excel/2006/main">
          <x14:cfRule type="dataBar" id="{B5EBA168-EAD8-44BD-8336-7A0467C9D9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E60:E61</xm:sqref>
        </x14:conditionalFormatting>
        <x14:conditionalFormatting xmlns:xm="http://schemas.microsoft.com/office/excel/2006/main">
          <x14:cfRule type="dataBar" id="{1F0A4709-5180-4F0A-A142-4C1C5958AD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E62</xm:sqref>
        </x14:conditionalFormatting>
        <x14:conditionalFormatting xmlns:xm="http://schemas.microsoft.com/office/excel/2006/main">
          <x14:cfRule type="dataBar" id="{B2178C98-5A13-4744-BF11-72A6E955A6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E63</xm:sqref>
        </x14:conditionalFormatting>
        <x14:conditionalFormatting xmlns:xm="http://schemas.microsoft.com/office/excel/2006/main">
          <x14:cfRule type="dataBar" id="{BA2E361A-2B62-4BB1-85C4-C7B8A21975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E64:E66</xm:sqref>
        </x14:conditionalFormatting>
        <x14:conditionalFormatting xmlns:xm="http://schemas.microsoft.com/office/excel/2006/main">
          <x14:cfRule type="dataBar" id="{6D30EA1A-210A-4BF8-8E00-423E98512B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E67:E69</xm:sqref>
        </x14:conditionalFormatting>
        <x14:conditionalFormatting xmlns:xm="http://schemas.microsoft.com/office/excel/2006/main">
          <x14:cfRule type="dataBar" id="{8CFD6426-3CD4-452D-8AB5-D56D5557E2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E112</xm:sqref>
        </x14:conditionalFormatting>
        <x14:conditionalFormatting xmlns:xm="http://schemas.microsoft.com/office/excel/2006/main">
          <x14:cfRule type="dataBar" id="{23215A50-CD10-467A-820C-11CA834F4A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E113:E117</xm:sqref>
        </x14:conditionalFormatting>
        <x14:conditionalFormatting xmlns:xm="http://schemas.microsoft.com/office/excel/2006/main">
          <x14:cfRule type="dataBar" id="{7F1280FD-5AE3-4136-9B8C-447F8DFFDE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E85</xm:sqref>
        </x14:conditionalFormatting>
        <x14:conditionalFormatting xmlns:xm="http://schemas.microsoft.com/office/excel/2006/main">
          <x14:cfRule type="dataBar" id="{12F8109A-FA4B-4F73-B8FE-80B3B8D6E5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E86:E87</xm:sqref>
        </x14:conditionalFormatting>
        <x14:conditionalFormatting xmlns:xm="http://schemas.microsoft.com/office/excel/2006/main">
          <x14:cfRule type="dataBar" id="{6188B972-94D2-4BED-A230-5FAA550AA1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E88</xm:sqref>
        </x14:conditionalFormatting>
        <x14:conditionalFormatting xmlns:xm="http://schemas.microsoft.com/office/excel/2006/main">
          <x14:cfRule type="dataBar" id="{52AD4F00-E392-4FC4-B26F-D1EAA70865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E89</xm:sqref>
        </x14:conditionalFormatting>
        <x14:conditionalFormatting xmlns:xm="http://schemas.microsoft.com/office/excel/2006/main">
          <x14:cfRule type="dataBar" id="{E61BC620-6D19-494C-A3CD-3730D1D056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W37:X37 A37:E37 H37:T37 A40:B40 A43:B43 A46:B46 A49:B49 A52:B52 A55:B55 A58:B58 A61:B61 A64:B64 A67:B67 A70:B70 A73:B73 A76:B76 A79:B79 A82:B82 A85:B85 A88:B88 A91:B91 A94:B94 A97:B97 A100:B100 A103:B103 A106:B106 A109:B109 A112:B112 A115:B115</xm:sqref>
        </x14:conditionalFormatting>
        <x14:conditionalFormatting xmlns:xm="http://schemas.microsoft.com/office/excel/2006/main">
          <x14:cfRule type="dataBar" id="{5390B850-3DE3-46C7-9A06-57D84AC8CA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W38:X38 A38:E38 H38:T38 A41:B41 A44:B44 A47:B47 A50:B50 A53:B53 A56:B56 A59:B59 A62:B62 A65:B65 A68:B68 A71:B71 A74:B74 A77:B77 A80:B80 A83:B83 A86:B86 A89:B89 A92:B92 A95:B95 A98:B98 A101:B101 A104:B104 A107:B107 A110:B110 A113:B113 A116:B116</xm:sqref>
        </x14:conditionalFormatting>
        <x14:conditionalFormatting xmlns:xm="http://schemas.microsoft.com/office/excel/2006/main">
          <x14:cfRule type="dataBar" id="{F4FCB218-243A-419D-9721-1F23C11C21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W42:X42 S42 L42:N42</xm:sqref>
        </x14:conditionalFormatting>
        <x14:conditionalFormatting xmlns:xm="http://schemas.microsoft.com/office/excel/2006/main">
          <x14:cfRule type="dataBar" id="{A711723A-2793-4EBF-8463-C1F6061A7D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W43:X43 S43 L43:N43</xm:sqref>
        </x14:conditionalFormatting>
        <x14:conditionalFormatting xmlns:xm="http://schemas.microsoft.com/office/excel/2006/main">
          <x14:cfRule type="dataBar" id="{7235C286-1E68-415C-9E22-9AF8C3F3C4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W46:X46 G46:I46 C46:E46 S46 L46:N46</xm:sqref>
        </x14:conditionalFormatting>
        <x14:conditionalFormatting xmlns:xm="http://schemas.microsoft.com/office/excel/2006/main">
          <x14:cfRule type="dataBar" id="{2D93148F-1B3E-4EB0-8A30-ED46862E59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W41:X41 S41 L41:N41 C41:D41</xm:sqref>
        </x14:conditionalFormatting>
        <x14:conditionalFormatting xmlns:xm="http://schemas.microsoft.com/office/excel/2006/main">
          <x14:cfRule type="dataBar" id="{7D684BEF-21AD-46F6-9F04-4A069C0E8E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W39:X39 C39:E39 H39:T39</xm:sqref>
        </x14:conditionalFormatting>
        <x14:conditionalFormatting xmlns:xm="http://schemas.microsoft.com/office/excel/2006/main">
          <x14:cfRule type="dataBar" id="{F1CB32E6-080D-46DB-8099-1473F9933F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W44:X44 S44 L44:N44</xm:sqref>
        </x14:conditionalFormatting>
        <x14:conditionalFormatting xmlns:xm="http://schemas.microsoft.com/office/excel/2006/main">
          <x14:cfRule type="dataBar" id="{216757E4-99E1-4416-A72C-D26A839B2E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W52:X54 C52:D54 G52:N54 S52:T54</xm:sqref>
        </x14:conditionalFormatting>
        <x14:conditionalFormatting xmlns:xm="http://schemas.microsoft.com/office/excel/2006/main">
          <x14:cfRule type="dataBar" id="{C4ADAFF1-838B-4783-B0EC-5D36010D0A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W62:X62 G62:T62 C62:D62</xm:sqref>
        </x14:conditionalFormatting>
        <x14:conditionalFormatting xmlns:xm="http://schemas.microsoft.com/office/excel/2006/main">
          <x14:cfRule type="dataBar" id="{4DF9112A-0108-488F-9E7A-8AB2FC3E11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W63:X63 G63:T63 C63:D63</xm:sqref>
        </x14:conditionalFormatting>
        <x14:conditionalFormatting xmlns:xm="http://schemas.microsoft.com/office/excel/2006/main">
          <x14:cfRule type="dataBar" id="{2B323B60-C445-4847-806C-CE2F67B00F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W72:X72 C72:E72 H72:N72 S72:T72</xm:sqref>
        </x14:conditionalFormatting>
        <x14:conditionalFormatting xmlns:xm="http://schemas.microsoft.com/office/excel/2006/main">
          <x14:cfRule type="dataBar" id="{9571F591-BB1F-4413-9B06-9F6B784284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W73:X73 C73:E73 H73:N73 S73:T73</xm:sqref>
        </x14:conditionalFormatting>
        <x14:conditionalFormatting xmlns:xm="http://schemas.microsoft.com/office/excel/2006/main">
          <x14:cfRule type="dataBar" id="{1D8B92FD-AEBF-4A6E-AD81-6C484818F2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W74:X74 C74:E74 H74:N74 S74:T74</xm:sqref>
        </x14:conditionalFormatting>
        <x14:conditionalFormatting xmlns:xm="http://schemas.microsoft.com/office/excel/2006/main">
          <x14:cfRule type="dataBar" id="{B4DE85B3-A365-49B2-B144-08299EE5A5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W78:X80 H78:T80 C78:E80</xm:sqref>
        </x14:conditionalFormatting>
        <x14:conditionalFormatting xmlns:xm="http://schemas.microsoft.com/office/excel/2006/main">
          <x14:cfRule type="dataBar" id="{4EB9E0A4-40DF-4363-9E92-596308E8BE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W81:X81 H81:T81 C81:E81</xm:sqref>
        </x14:conditionalFormatting>
        <x14:conditionalFormatting xmlns:xm="http://schemas.microsoft.com/office/excel/2006/main">
          <x14:cfRule type="dataBar" id="{F038CE6E-BDE6-4BA4-905C-F9A31D8D19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W82:X82 H82:T82 C82:E82</xm:sqref>
        </x14:conditionalFormatting>
        <x14:conditionalFormatting xmlns:xm="http://schemas.microsoft.com/office/excel/2006/main">
          <x14:cfRule type="dataBar" id="{A24D0E96-2818-4B78-95C6-BF71576ED7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W83:X83 H83:T83 C83:E83</xm:sqref>
        </x14:conditionalFormatting>
        <x14:conditionalFormatting xmlns:xm="http://schemas.microsoft.com/office/excel/2006/main">
          <x14:cfRule type="dataBar" id="{3BE4920B-7074-4C65-907D-BECAD99D6A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W113:X117 H113:T117 C113:D117</xm:sqref>
        </x14:conditionalFormatting>
        <x14:conditionalFormatting xmlns:xm="http://schemas.microsoft.com/office/excel/2006/main">
          <x14:cfRule type="dataBar" id="{7F121DA0-8C11-4E67-8C26-E92FDB4635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W85:X91 C90:E91 C85:D89 H85:T91</xm:sqref>
        </x14:conditionalFormatting>
        <x14:conditionalFormatting xmlns:xm="http://schemas.microsoft.com/office/excel/2006/main">
          <x14:cfRule type="dataBar" id="{637F9FF5-9CA0-4159-9D85-9B777E1813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W92:X93 H92:I93 C92:E93 L92:S93</xm:sqref>
        </x14:conditionalFormatting>
        <x14:conditionalFormatting xmlns:xm="http://schemas.microsoft.com/office/excel/2006/main">
          <x14:cfRule type="dataBar" id="{3044C997-504D-44AE-B08D-267D865034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W94:X95 C94:E95 H94:T95</xm:sqref>
        </x14:conditionalFormatting>
        <x14:conditionalFormatting xmlns:xm="http://schemas.microsoft.com/office/excel/2006/main">
          <x14:cfRule type="dataBar" id="{060BBF71-9D05-448A-A6E6-62DDE5F9A1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W97:X101 C97:E101 H97:T101</xm:sqref>
        </x14:conditionalFormatting>
        <x14:conditionalFormatting xmlns:xm="http://schemas.microsoft.com/office/excel/2006/main">
          <x14:cfRule type="dataBar" id="{08B1AC31-4659-45C0-A6DA-EB4DB6002F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W110:X110 C110:E110 H110:T110</xm:sqref>
        </x14:conditionalFormatting>
        <x14:conditionalFormatting xmlns:xm="http://schemas.microsoft.com/office/excel/2006/main">
          <x14:cfRule type="dataBar" id="{FD9848BB-09FD-4F38-AFDC-25B65A6033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W111:X111 C111:E111 H111:T111</xm:sqref>
        </x14:conditionalFormatting>
        <x14:conditionalFormatting xmlns:xm="http://schemas.microsoft.com/office/excel/2006/main">
          <x14:cfRule type="dataBar" id="{FE883E2F-36E8-4BCA-93B0-A1AAD10A0E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W103:X103 C103:E103 H103:T103</xm:sqref>
        </x14:conditionalFormatting>
        <x14:conditionalFormatting xmlns:xm="http://schemas.microsoft.com/office/excel/2006/main">
          <x14:cfRule type="dataBar" id="{75860DC1-4856-4018-969F-28DC492914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W104:X104 C104:E104 H104:T104</xm:sqref>
        </x14:conditionalFormatting>
        <x14:conditionalFormatting xmlns:xm="http://schemas.microsoft.com/office/excel/2006/main">
          <x14:cfRule type="dataBar" id="{12DF82C0-46E2-4514-9543-BF495ECFDB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W105:X105 C105:E105 H105:T105</xm:sqref>
        </x14:conditionalFormatting>
        <x14:conditionalFormatting xmlns:xm="http://schemas.microsoft.com/office/excel/2006/main">
          <x14:cfRule type="dataBar" id="{618493A5-7D83-4AC6-90FF-066262430A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W106:X106 C106:E106 H106:T106</xm:sqref>
        </x14:conditionalFormatting>
        <x14:conditionalFormatting xmlns:xm="http://schemas.microsoft.com/office/excel/2006/main">
          <x14:cfRule type="dataBar" id="{9C0B5A7D-0C97-4634-A29A-2A8872051F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W107:X107 C107:E107 H107:T107</xm:sqref>
        </x14:conditionalFormatting>
        <x14:conditionalFormatting xmlns:xm="http://schemas.microsoft.com/office/excel/2006/main">
          <x14:cfRule type="dataBar" id="{4751EB2C-132E-43CA-AF15-6CFE8C2B0B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W108:X108 C108:E108 H108:T108</xm:sqref>
        </x14:conditionalFormatting>
        <x14:conditionalFormatting xmlns:xm="http://schemas.microsoft.com/office/excel/2006/main">
          <x14:cfRule type="dataBar" id="{B6D71157-757F-4245-BAEB-847EB463DC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W48:X51 O48:R49 C48:E51 O51:R51 G48:N51 S48:T51</xm:sqref>
        </x14:conditionalFormatting>
        <x14:conditionalFormatting xmlns:xm="http://schemas.microsoft.com/office/excel/2006/main">
          <x14:cfRule type="dataBar" id="{F6B443D5-6644-47B9-9A91-4F79534B68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W56:X61 O56:R59 C56:E59 C60:D61 O61:R61 G56:N61 S56:T61</xm:sqref>
        </x14:conditionalFormatting>
        <x14:conditionalFormatting xmlns:xm="http://schemas.microsoft.com/office/excel/2006/main">
          <x14:cfRule type="dataBar" id="{1392AFE5-6F09-4D45-AE68-FB1B2E1889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W64:X66 C64:D66 O65:R65 G64:N66 S64:T66</xm:sqref>
        </x14:conditionalFormatting>
        <x14:conditionalFormatting xmlns:xm="http://schemas.microsoft.com/office/excel/2006/main">
          <x14:cfRule type="dataBar" id="{0814EF7B-30F0-4447-A5F1-0DB3D17C30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W67:X69 C67:D69 O67:R67 O69:R69 G67:N69 S67:T69</xm:sqref>
        </x14:conditionalFormatting>
        <x14:conditionalFormatting xmlns:xm="http://schemas.microsoft.com/office/excel/2006/main">
          <x14:cfRule type="dataBar" id="{822B93BF-955C-4408-921D-11319F8871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W35:X36 C112:D112 F35:L35 T35:V35 W75:X77 A35:E36 H36:L36 M35:S36 T36 W47:X47 W40:X40 S40 L40:N40 C40:D40 G45:I45 W45:X45 S45 L45:N45 C42:D43 F70:K70 C47:E47 G47:T47 W55:X55 G55:N55 S55:T55 C55:E55 F76:K76 C70:E71 H71:K71 W70:X71 L70:N71 S70:T71 G75:K75 C76:E77 H77:K77 L75:T77 W84:X84 H84:T84 W96:X96 H96:T96 W102:X102 H102:T102 W112:X112 H112:T112 W109:X109 C109:E109 H109:T109 A39:B39 A42:B42 A45:E45 A48:B48 A51:B51 A54:B54 A57:B57 A60:B60 A63:B63 A66:B66 A69:B69 A72:B72 A75:E75 A78:B78 A81:B81 A84:E84 A87:B87 A90:B90 A93:B93 A96:E96 A99:B99 A102:E102 A105:B105 A108:B108 A111:B111 A114:B114 A117:B117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'D:\MATRIZ_PENDIENTES\MATRICES_SEGUIMIENTO_CONTRATO_CONVENIOS_FIN\[Matriz_Seguimiento_CPBID.xlsx]Hoja5'!#REF!</xm:f>
          </x14:formula1>
          <xm:sqref>L45:S46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MATRIZ_SEG_RES_DIRECTORIO</vt:lpstr>
      <vt:lpstr>MATRIZ_SEG_RES_DIRECTORIO!_FilterDatabase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</dc:creator>
  <cp:lastModifiedBy>Juan Carlos Soliz Burgoa</cp:lastModifiedBy>
  <cp:lastPrinted>2017-09-18T22:11:45Z</cp:lastPrinted>
  <dcterms:created xsi:type="dcterms:W3CDTF">2017-06-29T13:35:41Z</dcterms:created>
  <dcterms:modified xsi:type="dcterms:W3CDTF">2023-05-25T22:41:56Z</dcterms:modified>
</cp:coreProperties>
</file>
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armen.michel\Desktop\"/>
    </mc:Choice>
  </mc:AlternateContent>
  <xr:revisionPtr revIDLastSave="0" documentId="8_{ED25E9C6-81A3-4FD9-9A29-313A45200BCD}" xr6:coauthVersionLast="47" xr6:coauthVersionMax="47" xr10:uidLastSave="{00000000-0000-0000-0000-000000000000}"/>
  <bookViews>
    <workbookView xWindow="2730" yWindow="1080" windowWidth="14775" windowHeight="15120" tabRatio="898" xr2:uid="{00000000-000D-0000-FFFF-FFFF00000000}"/>
  </bookViews>
  <sheets>
    <sheet name="FORM5" sheetId="136" r:id="rId1"/>
    <sheet name="RESUMEN PARTIDAS 2026" sheetId="137" r:id="rId2"/>
  </sheets>
  <externalReferences>
    <externalReference r:id="rId3"/>
  </externalReferences>
  <definedNames>
    <definedName name="_1">FORM5!#REF!</definedName>
    <definedName name="_11220">FORM5!#REF!</definedName>
    <definedName name="_11310">FORM5!#REF!</definedName>
    <definedName name="_11321">FORM5!#REF!</definedName>
    <definedName name="_11322">FORM5!#REF!</definedName>
    <definedName name="_11324">FORM5!#REF!</definedName>
    <definedName name="_11400">FORM5!#REF!</definedName>
    <definedName name="_11600">FORM5!#REF!</definedName>
    <definedName name="_11700">FORM5!#REF!</definedName>
    <definedName name="_11810">FORM5!#REF!</definedName>
    <definedName name="_11910">FORM5!#REF!</definedName>
    <definedName name="_12100">FORM5!#REF!</definedName>
    <definedName name="_13110">FORM5!#REF!</definedName>
    <definedName name="_13120">FORM5!#REF!</definedName>
    <definedName name="_13131">FORM5!#REF!</definedName>
    <definedName name="_13200">FORM5!#REF!</definedName>
    <definedName name="_15400">FORM5!#REF!</definedName>
    <definedName name="_2">FORM5!#REF!</definedName>
    <definedName name="_21100">FORM5!#REF!</definedName>
    <definedName name="_21200">FORM5!#REF!</definedName>
    <definedName name="_21300">FORM5!#REF!</definedName>
    <definedName name="_21400">FORM5!#REF!</definedName>
    <definedName name="_21500">FORM5!#REF!</definedName>
    <definedName name="_21600">FORM5!#REF!</definedName>
    <definedName name="_22110">FORM5!#REF!</definedName>
    <definedName name="_22120">FORM5!#REF!</definedName>
    <definedName name="_22210">FORM5!#REF!</definedName>
    <definedName name="_22220">FORM5!#REF!</definedName>
    <definedName name="_22300">FORM5!#REF!</definedName>
    <definedName name="_22500">FORM5!#REF!</definedName>
    <definedName name="_22600">FORM5!#REF!</definedName>
    <definedName name="_23100">FORM5!#REF!</definedName>
    <definedName name="_23200">FORM5!#REF!</definedName>
    <definedName name="_23400">FORM5!#REF!</definedName>
    <definedName name="_24110">FORM5!#REF!</definedName>
    <definedName name="_24120">FORM5!#REF!</definedName>
    <definedName name="_24130">FORM5!#REF!</definedName>
    <definedName name="_24300">FORM5!#REF!</definedName>
    <definedName name="_25120">FORM5!#REF!</definedName>
    <definedName name="_25210">FORM5!#REF!</definedName>
    <definedName name="_25220">FORM5!#REF!</definedName>
    <definedName name="_25300">FORM5!#REF!</definedName>
    <definedName name="_25400">FORM5!#REF!</definedName>
    <definedName name="_25500">FORM5!#REF!</definedName>
    <definedName name="_25600">FORM5!#REF!</definedName>
    <definedName name="_25700">FORM5!#REF!</definedName>
    <definedName name="_25900">FORM5!#REF!</definedName>
    <definedName name="_26200">FORM5!#REF!</definedName>
    <definedName name="_26610">FORM5!#REF!</definedName>
    <definedName name="_26620">FORM5!#REF!</definedName>
    <definedName name="_26630">FORM5!#REF!</definedName>
    <definedName name="_26990">FORM5!#REF!</definedName>
    <definedName name="_3">FORM5!#REF!</definedName>
    <definedName name="_31110">FORM5!#REF!</definedName>
    <definedName name="_31120">FORM5!#REF!</definedName>
    <definedName name="_31140">FORM5!#REF!</definedName>
    <definedName name="_32100">FORM5!#REF!</definedName>
    <definedName name="_32200">FORM5!#REF!</definedName>
    <definedName name="_32300">FORM5!#REF!</definedName>
    <definedName name="_32500">FORM5!#REF!</definedName>
    <definedName name="_33100">FORM5!#REF!</definedName>
    <definedName name="_33200">FORM5!#REF!</definedName>
    <definedName name="_33300">FORM5!#REF!</definedName>
    <definedName name="_33400">FORM5!#REF!</definedName>
    <definedName name="_34110">FORM5!#REF!</definedName>
    <definedName name="_34200">FORM5!#REF!</definedName>
    <definedName name="_34300">FORM5!#REF!</definedName>
    <definedName name="_34400">FORM5!#REF!</definedName>
    <definedName name="_34500">FORM5!#REF!</definedName>
    <definedName name="_34600">FORM5!#REF!</definedName>
    <definedName name="_34800">FORM5!#REF!</definedName>
    <definedName name="_39100">FORM5!#REF!</definedName>
    <definedName name="_39200">FORM5!#REF!</definedName>
    <definedName name="_39300">FORM5!#REF!</definedName>
    <definedName name="_39400">FORM5!#REF!</definedName>
    <definedName name="_39500">FORM5!#REF!</definedName>
    <definedName name="_39600">FORM5!#REF!</definedName>
    <definedName name="_39700">FORM5!#REF!</definedName>
    <definedName name="_39800">FORM5!#REF!</definedName>
    <definedName name="_39990">FORM5!#REF!</definedName>
    <definedName name="_4">FORM5!#REF!</definedName>
    <definedName name="_41200">FORM5!#REF!</definedName>
    <definedName name="_43110">FORM5!#REF!</definedName>
    <definedName name="_43120">FORM5!#REF!</definedName>
    <definedName name="_43330">FORM5!#REF!</definedName>
    <definedName name="_43340">FORM5!#REF!</definedName>
    <definedName name="_43400">FORM5!#REF!</definedName>
    <definedName name="_43500">FORM5!#REF!</definedName>
    <definedName name="_43600">FORM5!#REF!</definedName>
    <definedName name="_43700">FORM5!#REF!</definedName>
    <definedName name="_49100">FORM5!#REF!</definedName>
    <definedName name="_5">FORM5!#REF!</definedName>
    <definedName name="_6">FORM5!#REF!</definedName>
    <definedName name="_62100">FORM5!#REF!</definedName>
    <definedName name="_62200">FORM5!#REF!</definedName>
    <definedName name="_62300">FORM5!#REF!</definedName>
    <definedName name="_66200">FORM5!#REF!</definedName>
    <definedName name="_68200">FORM5!#REF!</definedName>
    <definedName name="_7">FORM5!#REF!</definedName>
    <definedName name="_71220">FORM5!#REF!</definedName>
    <definedName name="_73100">FORM5!#REF!</definedName>
    <definedName name="_73200">FORM5!#REF!</definedName>
    <definedName name="_8">FORM5!#REF!</definedName>
    <definedName name="_9">FORM5!#REF!</definedName>
    <definedName name="_96200">FORM5!#REF!</definedName>
    <definedName name="_96900">FORM5!#REF!</definedName>
    <definedName name="apertura">#REF!</definedName>
    <definedName name="_xlnm.Print_Area" localSheetId="1">'RESUMEN PARTIDAS 2026'!$A$1:$D$129</definedName>
    <definedName name="cod_clasg2">[1]TABLAS!$P$2:$P$118</definedName>
    <definedName name="cod_formA">#REF!:#REF! #REF!</definedName>
    <definedName name="cod_formB">#REF!:#REF! #REF!</definedName>
    <definedName name="cod_formC">#REF!:#REF! #REF!</definedName>
    <definedName name="des_clasg2">[1]TABLAS!$P$2:$Q$118</definedName>
    <definedName name="desc_apertura">#REF!</definedName>
    <definedName name="desc_formA">#REF!</definedName>
    <definedName name="desc_formB">#REF!</definedName>
    <definedName name="desc_formC">#REF!</definedName>
    <definedName name="desc_linea">[1]TABLAS!$Y$2:$Z$56</definedName>
    <definedName name="desc_operac">[1]Hoja1!$N$2:$R$4</definedName>
    <definedName name="descrip_formA">#REF!:#REF! #REF!</definedName>
    <definedName name="monto">#REF!</definedName>
    <definedName name="monto_id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36" l="1"/>
  <c r="V18" i="136"/>
  <c r="D28" i="137"/>
  <c r="D31" i="137"/>
  <c r="D128" i="137" l="1"/>
  <c r="D127" i="137"/>
  <c r="D126" i="137"/>
  <c r="D125" i="137"/>
  <c r="D124" i="137"/>
  <c r="D123" i="137"/>
  <c r="D121" i="137"/>
  <c r="D120" i="137"/>
  <c r="D119" i="137"/>
  <c r="D117" i="137"/>
  <c r="D116" i="137"/>
  <c r="D115" i="137"/>
  <c r="D114" i="137"/>
  <c r="D113" i="137"/>
  <c r="D112" i="137"/>
  <c r="D111" i="137"/>
  <c r="D110" i="137"/>
  <c r="D108" i="137"/>
  <c r="D107" i="137" s="1"/>
  <c r="D106" i="137"/>
  <c r="D105" i="137"/>
  <c r="D104" i="137"/>
  <c r="D103" i="137"/>
  <c r="D102" i="137"/>
  <c r="D101" i="137"/>
  <c r="D100" i="137"/>
  <c r="D99" i="137"/>
  <c r="D98" i="137"/>
  <c r="D97" i="137"/>
  <c r="D96" i="137"/>
  <c r="D95" i="137"/>
  <c r="D94" i="137"/>
  <c r="D93" i="137"/>
  <c r="D92" i="137"/>
  <c r="D91" i="137"/>
  <c r="D90" i="137"/>
  <c r="D88" i="137"/>
  <c r="D87" i="137"/>
  <c r="D86" i="137"/>
  <c r="D85" i="137"/>
  <c r="D84" i="137"/>
  <c r="D83" i="137"/>
  <c r="D82" i="137"/>
  <c r="D81" i="137"/>
  <c r="D80" i="137"/>
  <c r="D79" i="137"/>
  <c r="D78" i="137"/>
  <c r="D77" i="137"/>
  <c r="D76" i="137"/>
  <c r="D75" i="137"/>
  <c r="D74" i="137"/>
  <c r="D73" i="137"/>
  <c r="D72" i="137"/>
  <c r="D71" i="137"/>
  <c r="D70" i="137"/>
  <c r="D69" i="137"/>
  <c r="D68" i="137"/>
  <c r="D67" i="137"/>
  <c r="D66" i="137"/>
  <c r="D65" i="137"/>
  <c r="D64" i="137"/>
  <c r="D63" i="137"/>
  <c r="D62" i="137"/>
  <c r="D60" i="137"/>
  <c r="D59" i="137"/>
  <c r="D58" i="137"/>
  <c r="D57" i="137"/>
  <c r="D56" i="137"/>
  <c r="D55" i="137"/>
  <c r="D54" i="137"/>
  <c r="D53" i="137"/>
  <c r="D52" i="137"/>
  <c r="D51" i="137"/>
  <c r="D50" i="137"/>
  <c r="D49" i="137"/>
  <c r="D48" i="137"/>
  <c r="D47" i="137"/>
  <c r="D46" i="137"/>
  <c r="D45" i="137"/>
  <c r="D44" i="137"/>
  <c r="D43" i="137"/>
  <c r="D42" i="137"/>
  <c r="D41" i="137"/>
  <c r="D40" i="137"/>
  <c r="D39" i="137"/>
  <c r="D38" i="137"/>
  <c r="D37" i="137"/>
  <c r="D36" i="137"/>
  <c r="D35" i="137"/>
  <c r="D32" i="137"/>
  <c r="D30" i="137"/>
  <c r="D29" i="137"/>
  <c r="D27" i="137"/>
  <c r="D26" i="137"/>
  <c r="D25" i="137"/>
  <c r="D23" i="137"/>
  <c r="D22" i="137"/>
  <c r="D21" i="137"/>
  <c r="D20" i="137"/>
  <c r="D19" i="137"/>
  <c r="D18" i="137"/>
  <c r="D17" i="137"/>
  <c r="D16" i="137"/>
  <c r="D15" i="137"/>
  <c r="D14" i="137"/>
  <c r="D12" i="137"/>
  <c r="D11" i="137"/>
  <c r="D10" i="137"/>
  <c r="D9" i="137"/>
  <c r="D8" i="137"/>
  <c r="D7" i="137"/>
  <c r="D6" i="137"/>
  <c r="V610" i="136"/>
  <c r="I610" i="136"/>
  <c r="V609" i="136"/>
  <c r="I609" i="136"/>
  <c r="V608" i="136"/>
  <c r="I608" i="136"/>
  <c r="V607" i="136"/>
  <c r="I607" i="136"/>
  <c r="V606" i="136"/>
  <c r="I606" i="136"/>
  <c r="V605" i="136"/>
  <c r="I605" i="136"/>
  <c r="V604" i="136"/>
  <c r="I604" i="136"/>
  <c r="V603" i="136"/>
  <c r="I603" i="136"/>
  <c r="V602" i="136"/>
  <c r="I602" i="136"/>
  <c r="V601" i="136"/>
  <c r="I601" i="136"/>
  <c r="W601" i="136" s="1"/>
  <c r="V600" i="136"/>
  <c r="I600" i="136"/>
  <c r="V599" i="136"/>
  <c r="I599" i="136"/>
  <c r="V598" i="136"/>
  <c r="I598" i="136"/>
  <c r="V597" i="136"/>
  <c r="I597" i="136"/>
  <c r="V596" i="136"/>
  <c r="I596" i="136"/>
  <c r="V595" i="136"/>
  <c r="I595" i="136"/>
  <c r="V594" i="136"/>
  <c r="I594" i="136"/>
  <c r="V593" i="136"/>
  <c r="I593" i="136"/>
  <c r="V592" i="136"/>
  <c r="I592" i="136"/>
  <c r="V591" i="136"/>
  <c r="I591" i="136"/>
  <c r="V590" i="136"/>
  <c r="I590" i="136"/>
  <c r="V589" i="136"/>
  <c r="I589" i="136"/>
  <c r="W589" i="136" s="1"/>
  <c r="V588" i="136"/>
  <c r="I588" i="136"/>
  <c r="V587" i="136"/>
  <c r="I587" i="136"/>
  <c r="V586" i="136"/>
  <c r="I586" i="136"/>
  <c r="V585" i="136"/>
  <c r="I585" i="136"/>
  <c r="W585" i="136" s="1"/>
  <c r="V584" i="136"/>
  <c r="I584" i="136"/>
  <c r="V583" i="136"/>
  <c r="I583" i="136"/>
  <c r="V582" i="136"/>
  <c r="I582" i="136"/>
  <c r="V581" i="136"/>
  <c r="I581" i="136"/>
  <c r="W581" i="136" s="1"/>
  <c r="V580" i="136"/>
  <c r="I580" i="136"/>
  <c r="V579" i="136"/>
  <c r="I579" i="136"/>
  <c r="V578" i="136"/>
  <c r="I578" i="136"/>
  <c r="V577" i="136"/>
  <c r="I577" i="136"/>
  <c r="W577" i="136" s="1"/>
  <c r="V576" i="136"/>
  <c r="I576" i="136"/>
  <c r="V575" i="136"/>
  <c r="I575" i="136"/>
  <c r="V574" i="136"/>
  <c r="I574" i="136"/>
  <c r="V573" i="136"/>
  <c r="I573" i="136"/>
  <c r="V572" i="136"/>
  <c r="I572" i="136"/>
  <c r="V571" i="136"/>
  <c r="I571" i="136"/>
  <c r="V570" i="136"/>
  <c r="I570" i="136"/>
  <c r="V569" i="136"/>
  <c r="I569" i="136"/>
  <c r="W569" i="136" s="1"/>
  <c r="V568" i="136"/>
  <c r="I568" i="136"/>
  <c r="V567" i="136"/>
  <c r="I567" i="136"/>
  <c r="V566" i="136"/>
  <c r="I566" i="136"/>
  <c r="V565" i="136"/>
  <c r="I565" i="136"/>
  <c r="V564" i="136"/>
  <c r="I564" i="136"/>
  <c r="V563" i="136"/>
  <c r="I563" i="136"/>
  <c r="V562" i="136"/>
  <c r="I562" i="136"/>
  <c r="V561" i="136"/>
  <c r="I561" i="136"/>
  <c r="V560" i="136"/>
  <c r="I560" i="136"/>
  <c r="V559" i="136"/>
  <c r="I559" i="136"/>
  <c r="V558" i="136"/>
  <c r="I558" i="136"/>
  <c r="V557" i="136"/>
  <c r="I557" i="136"/>
  <c r="V556" i="136"/>
  <c r="I556" i="136"/>
  <c r="V555" i="136"/>
  <c r="I555" i="136"/>
  <c r="V554" i="136"/>
  <c r="I554" i="136"/>
  <c r="V553" i="136"/>
  <c r="I553" i="136"/>
  <c r="V552" i="136"/>
  <c r="I552" i="136"/>
  <c r="V551" i="136"/>
  <c r="I551" i="136"/>
  <c r="V550" i="136"/>
  <c r="I550" i="136"/>
  <c r="V549" i="136"/>
  <c r="I549" i="136"/>
  <c r="V548" i="136"/>
  <c r="I548" i="136"/>
  <c r="V547" i="136"/>
  <c r="I547" i="136"/>
  <c r="V546" i="136"/>
  <c r="I546" i="136"/>
  <c r="V545" i="136"/>
  <c r="I545" i="136"/>
  <c r="V544" i="136"/>
  <c r="I544" i="136"/>
  <c r="V543" i="136"/>
  <c r="I543" i="136"/>
  <c r="V542" i="136"/>
  <c r="I542" i="136"/>
  <c r="V541" i="136"/>
  <c r="I541" i="136"/>
  <c r="V540" i="136"/>
  <c r="I540" i="136"/>
  <c r="V539" i="136"/>
  <c r="I539" i="136"/>
  <c r="V538" i="136"/>
  <c r="I538" i="136"/>
  <c r="V537" i="136"/>
  <c r="I537" i="136"/>
  <c r="V536" i="136"/>
  <c r="I536" i="136"/>
  <c r="V535" i="136"/>
  <c r="I535" i="136"/>
  <c r="V534" i="136"/>
  <c r="I534" i="136"/>
  <c r="V533" i="136"/>
  <c r="I533" i="136"/>
  <c r="V532" i="136"/>
  <c r="I532" i="136"/>
  <c r="V531" i="136"/>
  <c r="I531" i="136"/>
  <c r="V530" i="136"/>
  <c r="I530" i="136"/>
  <c r="V529" i="136"/>
  <c r="I529" i="136"/>
  <c r="V528" i="136"/>
  <c r="I528" i="136"/>
  <c r="V527" i="136"/>
  <c r="I527" i="136"/>
  <c r="V526" i="136"/>
  <c r="I526" i="136"/>
  <c r="V525" i="136"/>
  <c r="I525" i="136"/>
  <c r="V524" i="136"/>
  <c r="I524" i="136"/>
  <c r="V523" i="136"/>
  <c r="I523" i="136"/>
  <c r="V522" i="136"/>
  <c r="I522" i="136"/>
  <c r="V521" i="136"/>
  <c r="I521" i="136"/>
  <c r="W521" i="136" s="1"/>
  <c r="V520" i="136"/>
  <c r="I520" i="136"/>
  <c r="V519" i="136"/>
  <c r="I519" i="136"/>
  <c r="V518" i="136"/>
  <c r="I518" i="136"/>
  <c r="V517" i="136"/>
  <c r="I517" i="136"/>
  <c r="W517" i="136" s="1"/>
  <c r="V516" i="136"/>
  <c r="I516" i="136"/>
  <c r="V515" i="136"/>
  <c r="I515" i="136"/>
  <c r="V514" i="136"/>
  <c r="I514" i="136"/>
  <c r="V513" i="136"/>
  <c r="I513" i="136"/>
  <c r="W513" i="136" s="1"/>
  <c r="V512" i="136"/>
  <c r="I512" i="136"/>
  <c r="V511" i="136"/>
  <c r="I511" i="136"/>
  <c r="W540" i="136" l="1"/>
  <c r="W580" i="136"/>
  <c r="W599" i="136"/>
  <c r="W592" i="136"/>
  <c r="W609" i="136"/>
  <c r="W514" i="136"/>
  <c r="W602" i="136"/>
  <c r="W587" i="136"/>
  <c r="W600" i="136"/>
  <c r="W610" i="136"/>
  <c r="W593" i="136"/>
  <c r="W529" i="136"/>
  <c r="W568" i="136"/>
  <c r="D122" i="137"/>
  <c r="D61" i="137"/>
  <c r="D89" i="137"/>
  <c r="D109" i="137"/>
  <c r="D118" i="137"/>
  <c r="W561" i="136"/>
  <c r="W536" i="136"/>
  <c r="W552" i="136"/>
  <c r="W556" i="136"/>
  <c r="W560" i="136"/>
  <c r="W575" i="136"/>
  <c r="W583" i="136"/>
  <c r="W565" i="136"/>
  <c r="W576" i="136"/>
  <c r="W584" i="136"/>
  <c r="W607" i="136"/>
  <c r="W518" i="136"/>
  <c r="W511" i="136"/>
  <c r="W515" i="136"/>
  <c r="W519" i="136"/>
  <c r="W597" i="136"/>
  <c r="W608" i="136"/>
  <c r="W531" i="136"/>
  <c r="W535" i="136"/>
  <c r="W547" i="136"/>
  <c r="W551" i="136"/>
  <c r="W567" i="136"/>
  <c r="W570" i="136"/>
  <c r="W574" i="136"/>
  <c r="W578" i="136"/>
  <c r="W582" i="136"/>
  <c r="W586" i="136"/>
  <c r="W590" i="136"/>
  <c r="W572" i="136"/>
  <c r="W579" i="136"/>
  <c r="W604" i="136"/>
  <c r="W524" i="136"/>
  <c r="W533" i="136"/>
  <c r="W537" i="136"/>
  <c r="W541" i="136"/>
  <c r="W545" i="136"/>
  <c r="W549" i="136"/>
  <c r="W553" i="136"/>
  <c r="W562" i="136"/>
  <c r="W566" i="136"/>
  <c r="W573" i="136"/>
  <c r="W591" i="136"/>
  <c r="W594" i="136"/>
  <c r="W598" i="136"/>
  <c r="W605" i="136"/>
  <c r="W522" i="136"/>
  <c r="W526" i="136"/>
  <c r="W530" i="136"/>
  <c r="W534" i="136"/>
  <c r="W546" i="136"/>
  <c r="W550" i="136"/>
  <c r="W606" i="136"/>
  <c r="W563" i="136"/>
  <c r="W588" i="136"/>
  <c r="W595" i="136"/>
  <c r="W520" i="136"/>
  <c r="W564" i="136"/>
  <c r="W571" i="136"/>
  <c r="W596" i="136"/>
  <c r="W603" i="136"/>
  <c r="W548" i="136"/>
  <c r="W512" i="136"/>
  <c r="W523" i="136"/>
  <c r="W527" i="136"/>
  <c r="W538" i="136"/>
  <c r="W542" i="136"/>
  <c r="W557" i="136"/>
  <c r="W516" i="136"/>
  <c r="W528" i="136"/>
  <c r="W539" i="136"/>
  <c r="W543" i="136"/>
  <c r="W554" i="136"/>
  <c r="W558" i="136"/>
  <c r="W525" i="136"/>
  <c r="W532" i="136"/>
  <c r="W544" i="136"/>
  <c r="W555" i="136"/>
  <c r="W559" i="136"/>
  <c r="I12" i="136"/>
  <c r="D34" i="137" s="1"/>
  <c r="I17" i="136" l="1"/>
  <c r="I11" i="136" l="1"/>
  <c r="D33" i="137" s="1"/>
  <c r="D24" i="137" s="1"/>
  <c r="V510" i="136"/>
  <c r="I510" i="136"/>
  <c r="V509" i="136"/>
  <c r="I509" i="136"/>
  <c r="V508" i="136"/>
  <c r="I508" i="136"/>
  <c r="V507" i="136"/>
  <c r="I507" i="136"/>
  <c r="V506" i="136"/>
  <c r="I506" i="136"/>
  <c r="V505" i="136"/>
  <c r="I505" i="136"/>
  <c r="V504" i="136"/>
  <c r="I504" i="136"/>
  <c r="V503" i="136"/>
  <c r="I503" i="136"/>
  <c r="V502" i="136"/>
  <c r="I502" i="136"/>
  <c r="V501" i="136"/>
  <c r="I501" i="136"/>
  <c r="V500" i="136"/>
  <c r="I500" i="136"/>
  <c r="V499" i="136"/>
  <c r="I499" i="136"/>
  <c r="V498" i="136"/>
  <c r="I498" i="136"/>
  <c r="V497" i="136"/>
  <c r="I497" i="136"/>
  <c r="V496" i="136"/>
  <c r="I496" i="136"/>
  <c r="V495" i="136"/>
  <c r="I495" i="136"/>
  <c r="V494" i="136"/>
  <c r="I494" i="136"/>
  <c r="V493" i="136"/>
  <c r="I493" i="136"/>
  <c r="V492" i="136"/>
  <c r="I492" i="136"/>
  <c r="V491" i="136"/>
  <c r="I491" i="136"/>
  <c r="V490" i="136"/>
  <c r="I490" i="136"/>
  <c r="V489" i="136"/>
  <c r="I489" i="136"/>
  <c r="V488" i="136"/>
  <c r="I488" i="136"/>
  <c r="V487" i="136"/>
  <c r="I487" i="136"/>
  <c r="V486" i="136"/>
  <c r="I486" i="136"/>
  <c r="V485" i="136"/>
  <c r="I485" i="136"/>
  <c r="V484" i="136"/>
  <c r="I484" i="136"/>
  <c r="V483" i="136"/>
  <c r="I483" i="136"/>
  <c r="V482" i="136"/>
  <c r="I482" i="136"/>
  <c r="V481" i="136"/>
  <c r="I481" i="136"/>
  <c r="V480" i="136"/>
  <c r="I480" i="136"/>
  <c r="V479" i="136"/>
  <c r="I479" i="136"/>
  <c r="V478" i="136"/>
  <c r="I478" i="136"/>
  <c r="V477" i="136"/>
  <c r="I477" i="136"/>
  <c r="V476" i="136"/>
  <c r="I476" i="136"/>
  <c r="V475" i="136"/>
  <c r="I475" i="136"/>
  <c r="V474" i="136"/>
  <c r="I474" i="136"/>
  <c r="V473" i="136"/>
  <c r="I473" i="136"/>
  <c r="V472" i="136"/>
  <c r="I472" i="136"/>
  <c r="V471" i="136"/>
  <c r="I471" i="136"/>
  <c r="V470" i="136"/>
  <c r="I470" i="136"/>
  <c r="V469" i="136"/>
  <c r="I469" i="136"/>
  <c r="V468" i="136"/>
  <c r="I468" i="136"/>
  <c r="V467" i="136"/>
  <c r="I467" i="136"/>
  <c r="V466" i="136"/>
  <c r="I466" i="136"/>
  <c r="V465" i="136"/>
  <c r="I465" i="136"/>
  <c r="V464" i="136"/>
  <c r="I464" i="136"/>
  <c r="V463" i="136"/>
  <c r="I463" i="136"/>
  <c r="V462" i="136"/>
  <c r="I462" i="136"/>
  <c r="V461" i="136"/>
  <c r="I461" i="136"/>
  <c r="V460" i="136"/>
  <c r="I460" i="136"/>
  <c r="V459" i="136"/>
  <c r="I459" i="136"/>
  <c r="V458" i="136"/>
  <c r="I458" i="136"/>
  <c r="V457" i="136"/>
  <c r="I457" i="136"/>
  <c r="V456" i="136"/>
  <c r="I456" i="136"/>
  <c r="V455" i="136"/>
  <c r="I455" i="136"/>
  <c r="V454" i="136"/>
  <c r="I454" i="136"/>
  <c r="V453" i="136"/>
  <c r="I453" i="136"/>
  <c r="V452" i="136"/>
  <c r="I452" i="136"/>
  <c r="V451" i="136"/>
  <c r="I451" i="136"/>
  <c r="V450" i="136"/>
  <c r="I450" i="136"/>
  <c r="V449" i="136"/>
  <c r="I449" i="136"/>
  <c r="V448" i="136"/>
  <c r="I448" i="136"/>
  <c r="V447" i="136"/>
  <c r="I447" i="136"/>
  <c r="V446" i="136"/>
  <c r="I446" i="136"/>
  <c r="V445" i="136"/>
  <c r="I445" i="136"/>
  <c r="V444" i="136"/>
  <c r="I444" i="136"/>
  <c r="V443" i="136"/>
  <c r="I443" i="136"/>
  <c r="V442" i="136"/>
  <c r="I442" i="136"/>
  <c r="V441" i="136"/>
  <c r="I441" i="136"/>
  <c r="V440" i="136"/>
  <c r="I440" i="136"/>
  <c r="V439" i="136"/>
  <c r="I439" i="136"/>
  <c r="V438" i="136"/>
  <c r="I438" i="136"/>
  <c r="V437" i="136"/>
  <c r="I437" i="136"/>
  <c r="V436" i="136"/>
  <c r="I436" i="136"/>
  <c r="V435" i="136"/>
  <c r="I435" i="136"/>
  <c r="V434" i="136"/>
  <c r="I434" i="136"/>
  <c r="V433" i="136"/>
  <c r="I433" i="136"/>
  <c r="V432" i="136"/>
  <c r="I432" i="136"/>
  <c r="V431" i="136"/>
  <c r="I431" i="136"/>
  <c r="V430" i="136"/>
  <c r="I430" i="136"/>
  <c r="V429" i="136"/>
  <c r="I429" i="136"/>
  <c r="V428" i="136"/>
  <c r="I428" i="136"/>
  <c r="V427" i="136"/>
  <c r="I427" i="136"/>
  <c r="V426" i="136"/>
  <c r="I426" i="136"/>
  <c r="V425" i="136"/>
  <c r="I425" i="136"/>
  <c r="V424" i="136"/>
  <c r="I424" i="136"/>
  <c r="V423" i="136"/>
  <c r="I423" i="136"/>
  <c r="V422" i="136"/>
  <c r="I422" i="136"/>
  <c r="V421" i="136"/>
  <c r="I421" i="136"/>
  <c r="V420" i="136"/>
  <c r="I420" i="136"/>
  <c r="V419" i="136"/>
  <c r="I419" i="136"/>
  <c r="V418" i="136"/>
  <c r="I418" i="136"/>
  <c r="V417" i="136"/>
  <c r="I417" i="136"/>
  <c r="V416" i="136"/>
  <c r="I416" i="136"/>
  <c r="V415" i="136"/>
  <c r="I415" i="136"/>
  <c r="V414" i="136"/>
  <c r="I414" i="136"/>
  <c r="V413" i="136"/>
  <c r="I413" i="136"/>
  <c r="V412" i="136"/>
  <c r="I412" i="136"/>
  <c r="V411" i="136"/>
  <c r="I411" i="136"/>
  <c r="V410" i="136"/>
  <c r="I410" i="136"/>
  <c r="V409" i="136"/>
  <c r="I409" i="136"/>
  <c r="V408" i="136"/>
  <c r="I408" i="136"/>
  <c r="V407" i="136"/>
  <c r="I407" i="136"/>
  <c r="V406" i="136"/>
  <c r="I406" i="136"/>
  <c r="V405" i="136"/>
  <c r="I405" i="136"/>
  <c r="V404" i="136"/>
  <c r="I404" i="136"/>
  <c r="V403" i="136"/>
  <c r="I403" i="136"/>
  <c r="V402" i="136"/>
  <c r="I402" i="136"/>
  <c r="V401" i="136"/>
  <c r="I401" i="136"/>
  <c r="V400" i="136"/>
  <c r="I400" i="136"/>
  <c r="V399" i="136"/>
  <c r="I399" i="136"/>
  <c r="V398" i="136"/>
  <c r="I398" i="136"/>
  <c r="V397" i="136"/>
  <c r="I397" i="136"/>
  <c r="V396" i="136"/>
  <c r="I396" i="136"/>
  <c r="V395" i="136"/>
  <c r="I395" i="136"/>
  <c r="V394" i="136"/>
  <c r="I394" i="136"/>
  <c r="V393" i="136"/>
  <c r="I393" i="136"/>
  <c r="V392" i="136"/>
  <c r="I392" i="136"/>
  <c r="V391" i="136"/>
  <c r="I391" i="136"/>
  <c r="V390" i="136"/>
  <c r="I390" i="136"/>
  <c r="V389" i="136"/>
  <c r="I389" i="136"/>
  <c r="V388" i="136"/>
  <c r="I388" i="136"/>
  <c r="V387" i="136"/>
  <c r="I387" i="136"/>
  <c r="V386" i="136"/>
  <c r="I386" i="136"/>
  <c r="V385" i="136"/>
  <c r="I385" i="136"/>
  <c r="V384" i="136"/>
  <c r="I384" i="136"/>
  <c r="V383" i="136"/>
  <c r="I383" i="136"/>
  <c r="V382" i="136"/>
  <c r="I382" i="136"/>
  <c r="V381" i="136"/>
  <c r="I381" i="136"/>
  <c r="V380" i="136"/>
  <c r="I380" i="136"/>
  <c r="V379" i="136"/>
  <c r="I379" i="136"/>
  <c r="V378" i="136"/>
  <c r="I378" i="136"/>
  <c r="V377" i="136"/>
  <c r="I377" i="136"/>
  <c r="V376" i="136"/>
  <c r="I376" i="136"/>
  <c r="V375" i="136"/>
  <c r="I375" i="136"/>
  <c r="V374" i="136"/>
  <c r="I374" i="136"/>
  <c r="V373" i="136"/>
  <c r="I373" i="136"/>
  <c r="V372" i="136"/>
  <c r="I372" i="136"/>
  <c r="V371" i="136"/>
  <c r="I371" i="136"/>
  <c r="V370" i="136"/>
  <c r="I370" i="136"/>
  <c r="V369" i="136"/>
  <c r="I369" i="136"/>
  <c r="V368" i="136"/>
  <c r="I368" i="136"/>
  <c r="V367" i="136"/>
  <c r="I367" i="136"/>
  <c r="V366" i="136"/>
  <c r="I366" i="136"/>
  <c r="V365" i="136"/>
  <c r="I365" i="136"/>
  <c r="V364" i="136"/>
  <c r="I364" i="136"/>
  <c r="V363" i="136"/>
  <c r="I363" i="136"/>
  <c r="V362" i="136"/>
  <c r="I362" i="136"/>
  <c r="V361" i="136"/>
  <c r="I361" i="136"/>
  <c r="V360" i="136"/>
  <c r="I360" i="136"/>
  <c r="V359" i="136"/>
  <c r="I359" i="136"/>
  <c r="V358" i="136"/>
  <c r="I358" i="136"/>
  <c r="V357" i="136"/>
  <c r="I357" i="136"/>
  <c r="V356" i="136"/>
  <c r="I356" i="136"/>
  <c r="V355" i="136"/>
  <c r="I355" i="136"/>
  <c r="V354" i="136"/>
  <c r="I354" i="136"/>
  <c r="V353" i="136"/>
  <c r="I353" i="136"/>
  <c r="V352" i="136"/>
  <c r="I352" i="136"/>
  <c r="V351" i="136"/>
  <c r="I351" i="136"/>
  <c r="V350" i="136"/>
  <c r="I350" i="136"/>
  <c r="V349" i="136"/>
  <c r="I349" i="136"/>
  <c r="V348" i="136"/>
  <c r="I348" i="136"/>
  <c r="V347" i="136"/>
  <c r="I347" i="136"/>
  <c r="V346" i="136"/>
  <c r="I346" i="136"/>
  <c r="V345" i="136"/>
  <c r="I345" i="136"/>
  <c r="V344" i="136"/>
  <c r="I344" i="136"/>
  <c r="V343" i="136"/>
  <c r="I343" i="136"/>
  <c r="V342" i="136"/>
  <c r="I342" i="136"/>
  <c r="V341" i="136"/>
  <c r="I341" i="136"/>
  <c r="V340" i="136"/>
  <c r="I340" i="136"/>
  <c r="V339" i="136"/>
  <c r="I339" i="136"/>
  <c r="V338" i="136"/>
  <c r="I338" i="136"/>
  <c r="V337" i="136"/>
  <c r="I337" i="136"/>
  <c r="V336" i="136"/>
  <c r="I336" i="136"/>
  <c r="V335" i="136"/>
  <c r="I335" i="136"/>
  <c r="V334" i="136"/>
  <c r="I334" i="136"/>
  <c r="V333" i="136"/>
  <c r="I333" i="136"/>
  <c r="V332" i="136"/>
  <c r="I332" i="136"/>
  <c r="V331" i="136"/>
  <c r="I331" i="136"/>
  <c r="V330" i="136"/>
  <c r="I330" i="136"/>
  <c r="V329" i="136"/>
  <c r="I329" i="136"/>
  <c r="V328" i="136"/>
  <c r="I328" i="136"/>
  <c r="V327" i="136"/>
  <c r="I327" i="136"/>
  <c r="V326" i="136"/>
  <c r="I326" i="136"/>
  <c r="V325" i="136"/>
  <c r="I325" i="136"/>
  <c r="V324" i="136"/>
  <c r="I324" i="136"/>
  <c r="V323" i="136"/>
  <c r="I323" i="136"/>
  <c r="V322" i="136"/>
  <c r="I322" i="136"/>
  <c r="V321" i="136"/>
  <c r="I321" i="136"/>
  <c r="V320" i="136"/>
  <c r="I320" i="136"/>
  <c r="V319" i="136"/>
  <c r="I319" i="136"/>
  <c r="V318" i="136"/>
  <c r="I318" i="136"/>
  <c r="V317" i="136"/>
  <c r="I317" i="136"/>
  <c r="V316" i="136"/>
  <c r="I316" i="136"/>
  <c r="V315" i="136"/>
  <c r="I315" i="136"/>
  <c r="V314" i="136"/>
  <c r="I314" i="136"/>
  <c r="V313" i="136"/>
  <c r="I313" i="136"/>
  <c r="V312" i="136"/>
  <c r="I312" i="136"/>
  <c r="V311" i="136"/>
  <c r="I311" i="136"/>
  <c r="I296" i="136"/>
  <c r="V296" i="136"/>
  <c r="I297" i="136"/>
  <c r="V297" i="136"/>
  <c r="I298" i="136"/>
  <c r="V298" i="136"/>
  <c r="I299" i="136"/>
  <c r="V299" i="136"/>
  <c r="I300" i="136"/>
  <c r="V300" i="136"/>
  <c r="I301" i="136"/>
  <c r="V301" i="136"/>
  <c r="I302" i="136"/>
  <c r="V302" i="136"/>
  <c r="I303" i="136"/>
  <c r="V303" i="136"/>
  <c r="I304" i="136"/>
  <c r="V304" i="136"/>
  <c r="I305" i="136"/>
  <c r="V305" i="136"/>
  <c r="I306" i="136"/>
  <c r="V306" i="136"/>
  <c r="I307" i="136"/>
  <c r="V307" i="136"/>
  <c r="I308" i="136"/>
  <c r="V308" i="136"/>
  <c r="I309" i="136"/>
  <c r="V309" i="136"/>
  <c r="I310" i="136"/>
  <c r="V310" i="136"/>
  <c r="I144" i="136"/>
  <c r="V144" i="136"/>
  <c r="I145" i="136"/>
  <c r="V145" i="136"/>
  <c r="I146" i="136"/>
  <c r="V146" i="136"/>
  <c r="I147" i="136"/>
  <c r="V147" i="136"/>
  <c r="I148" i="136"/>
  <c r="V148" i="136"/>
  <c r="I149" i="136"/>
  <c r="V149" i="136"/>
  <c r="I150" i="136"/>
  <c r="V150" i="136"/>
  <c r="I151" i="136"/>
  <c r="V151" i="136"/>
  <c r="I152" i="136"/>
  <c r="V152" i="136"/>
  <c r="I153" i="136"/>
  <c r="V153" i="136"/>
  <c r="I154" i="136"/>
  <c r="V154" i="136"/>
  <c r="I155" i="136"/>
  <c r="V155" i="136"/>
  <c r="I156" i="136"/>
  <c r="V156" i="136"/>
  <c r="I157" i="136"/>
  <c r="V157" i="136"/>
  <c r="I158" i="136"/>
  <c r="V158" i="136"/>
  <c r="I159" i="136"/>
  <c r="V159" i="136"/>
  <c r="I160" i="136"/>
  <c r="V160" i="136"/>
  <c r="I161" i="136"/>
  <c r="V161" i="136"/>
  <c r="I162" i="136"/>
  <c r="V162" i="136"/>
  <c r="I163" i="136"/>
  <c r="V163" i="136"/>
  <c r="I164" i="136"/>
  <c r="V164" i="136"/>
  <c r="I165" i="136"/>
  <c r="V165" i="136"/>
  <c r="I166" i="136"/>
  <c r="V166" i="136"/>
  <c r="I167" i="136"/>
  <c r="V167" i="136"/>
  <c r="I168" i="136"/>
  <c r="V168" i="136"/>
  <c r="I169" i="136"/>
  <c r="V169" i="136"/>
  <c r="I170" i="136"/>
  <c r="V170" i="136"/>
  <c r="I171" i="136"/>
  <c r="V171" i="136"/>
  <c r="I172" i="136"/>
  <c r="V172" i="136"/>
  <c r="I173" i="136"/>
  <c r="V173" i="136"/>
  <c r="I174" i="136"/>
  <c r="V174" i="136"/>
  <c r="I175" i="136"/>
  <c r="V175" i="136"/>
  <c r="I176" i="136"/>
  <c r="V176" i="136"/>
  <c r="I177" i="136"/>
  <c r="V177" i="136"/>
  <c r="I178" i="136"/>
  <c r="V178" i="136"/>
  <c r="I179" i="136"/>
  <c r="V179" i="136"/>
  <c r="I180" i="136"/>
  <c r="V180" i="136"/>
  <c r="I181" i="136"/>
  <c r="V181" i="136"/>
  <c r="I182" i="136"/>
  <c r="V182" i="136"/>
  <c r="I183" i="136"/>
  <c r="V183" i="136"/>
  <c r="I184" i="136"/>
  <c r="V184" i="136"/>
  <c r="I185" i="136"/>
  <c r="V185" i="136"/>
  <c r="I186" i="136"/>
  <c r="V186" i="136"/>
  <c r="I187" i="136"/>
  <c r="V187" i="136"/>
  <c r="I188" i="136"/>
  <c r="V188" i="136"/>
  <c r="I189" i="136"/>
  <c r="V189" i="136"/>
  <c r="I190" i="136"/>
  <c r="V190" i="136"/>
  <c r="I191" i="136"/>
  <c r="V191" i="136"/>
  <c r="I192" i="136"/>
  <c r="V192" i="136"/>
  <c r="I193" i="136"/>
  <c r="V193" i="136"/>
  <c r="I194" i="136"/>
  <c r="V194" i="136"/>
  <c r="I195" i="136"/>
  <c r="V195" i="136"/>
  <c r="I196" i="136"/>
  <c r="V196" i="136"/>
  <c r="I197" i="136"/>
  <c r="V197" i="136"/>
  <c r="I198" i="136"/>
  <c r="V198" i="136"/>
  <c r="I199" i="136"/>
  <c r="V199" i="136"/>
  <c r="I200" i="136"/>
  <c r="V200" i="136"/>
  <c r="I201" i="136"/>
  <c r="V201" i="136"/>
  <c r="I202" i="136"/>
  <c r="V202" i="136"/>
  <c r="I203" i="136"/>
  <c r="V203" i="136"/>
  <c r="I204" i="136"/>
  <c r="V204" i="136"/>
  <c r="I205" i="136"/>
  <c r="V205" i="136"/>
  <c r="I206" i="136"/>
  <c r="V206" i="136"/>
  <c r="I207" i="136"/>
  <c r="V207" i="136"/>
  <c r="I208" i="136"/>
  <c r="V208" i="136"/>
  <c r="I209" i="136"/>
  <c r="V209" i="136"/>
  <c r="I210" i="136"/>
  <c r="V210" i="136"/>
  <c r="I211" i="136"/>
  <c r="V211" i="136"/>
  <c r="I212" i="136"/>
  <c r="V212" i="136"/>
  <c r="I213" i="136"/>
  <c r="V213" i="136"/>
  <c r="I214" i="136"/>
  <c r="V214" i="136"/>
  <c r="I215" i="136"/>
  <c r="V215" i="136"/>
  <c r="I216" i="136"/>
  <c r="V216" i="136"/>
  <c r="I217" i="136"/>
  <c r="V217" i="136"/>
  <c r="I218" i="136"/>
  <c r="V218" i="136"/>
  <c r="I219" i="136"/>
  <c r="V219" i="136"/>
  <c r="I220" i="136"/>
  <c r="V220" i="136"/>
  <c r="I221" i="136"/>
  <c r="V221" i="136"/>
  <c r="I222" i="136"/>
  <c r="V222" i="136"/>
  <c r="I223" i="136"/>
  <c r="V223" i="136"/>
  <c r="I224" i="136"/>
  <c r="V224" i="136"/>
  <c r="I225" i="136"/>
  <c r="V225" i="136"/>
  <c r="I226" i="136"/>
  <c r="V226" i="136"/>
  <c r="I227" i="136"/>
  <c r="V227" i="136"/>
  <c r="I228" i="136"/>
  <c r="V228" i="136"/>
  <c r="I229" i="136"/>
  <c r="V229" i="136"/>
  <c r="I230" i="136"/>
  <c r="V230" i="136"/>
  <c r="I231" i="136"/>
  <c r="V231" i="136"/>
  <c r="I232" i="136"/>
  <c r="V232" i="136"/>
  <c r="I233" i="136"/>
  <c r="V233" i="136"/>
  <c r="I234" i="136"/>
  <c r="V234" i="136"/>
  <c r="I235" i="136"/>
  <c r="V235" i="136"/>
  <c r="I236" i="136"/>
  <c r="V236" i="136"/>
  <c r="I237" i="136"/>
  <c r="V237" i="136"/>
  <c r="I238" i="136"/>
  <c r="V238" i="136"/>
  <c r="I239" i="136"/>
  <c r="V239" i="136"/>
  <c r="I240" i="136"/>
  <c r="V240" i="136"/>
  <c r="I241" i="136"/>
  <c r="V241" i="136"/>
  <c r="I242" i="136"/>
  <c r="V242" i="136"/>
  <c r="I243" i="136"/>
  <c r="V243" i="136"/>
  <c r="I244" i="136"/>
  <c r="V244" i="136"/>
  <c r="I245" i="136"/>
  <c r="V245" i="136"/>
  <c r="I246" i="136"/>
  <c r="V246" i="136"/>
  <c r="I247" i="136"/>
  <c r="V247" i="136"/>
  <c r="I248" i="136"/>
  <c r="V248" i="136"/>
  <c r="I249" i="136"/>
  <c r="V249" i="136"/>
  <c r="I250" i="136"/>
  <c r="V250" i="136"/>
  <c r="I251" i="136"/>
  <c r="V251" i="136"/>
  <c r="I252" i="136"/>
  <c r="V252" i="136"/>
  <c r="I253" i="136"/>
  <c r="V253" i="136"/>
  <c r="I254" i="136"/>
  <c r="V254" i="136"/>
  <c r="I255" i="136"/>
  <c r="V255" i="136"/>
  <c r="I256" i="136"/>
  <c r="V256" i="136"/>
  <c r="I257" i="136"/>
  <c r="V257" i="136"/>
  <c r="I258" i="136"/>
  <c r="V258" i="136"/>
  <c r="I259" i="136"/>
  <c r="V259" i="136"/>
  <c r="I260" i="136"/>
  <c r="V260" i="136"/>
  <c r="I261" i="136"/>
  <c r="V261" i="136"/>
  <c r="I262" i="136"/>
  <c r="V262" i="136"/>
  <c r="I263" i="136"/>
  <c r="V263" i="136"/>
  <c r="I264" i="136"/>
  <c r="V264" i="136"/>
  <c r="I265" i="136"/>
  <c r="V265" i="136"/>
  <c r="I266" i="136"/>
  <c r="V266" i="136"/>
  <c r="I267" i="136"/>
  <c r="V267" i="136"/>
  <c r="I268" i="136"/>
  <c r="V268" i="136"/>
  <c r="I269" i="136"/>
  <c r="V269" i="136"/>
  <c r="I270" i="136"/>
  <c r="V270" i="136"/>
  <c r="I271" i="136"/>
  <c r="V271" i="136"/>
  <c r="I272" i="136"/>
  <c r="V272" i="136"/>
  <c r="I273" i="136"/>
  <c r="V273" i="136"/>
  <c r="I274" i="136"/>
  <c r="V274" i="136"/>
  <c r="I275" i="136"/>
  <c r="V275" i="136"/>
  <c r="I276" i="136"/>
  <c r="V276" i="136"/>
  <c r="I277" i="136"/>
  <c r="V277" i="136"/>
  <c r="I278" i="136"/>
  <c r="V278" i="136"/>
  <c r="I279" i="136"/>
  <c r="V279" i="136"/>
  <c r="I280" i="136"/>
  <c r="V280" i="136"/>
  <c r="I281" i="136"/>
  <c r="V281" i="136"/>
  <c r="I282" i="136"/>
  <c r="V282" i="136"/>
  <c r="I283" i="136"/>
  <c r="V283" i="136"/>
  <c r="I284" i="136"/>
  <c r="V284" i="136"/>
  <c r="I285" i="136"/>
  <c r="V285" i="136"/>
  <c r="I286" i="136"/>
  <c r="V286" i="136"/>
  <c r="I287" i="136"/>
  <c r="V287" i="136"/>
  <c r="I288" i="136"/>
  <c r="V288" i="136"/>
  <c r="I289" i="136"/>
  <c r="V289" i="136"/>
  <c r="I290" i="136"/>
  <c r="V290" i="136"/>
  <c r="I291" i="136"/>
  <c r="V291" i="136"/>
  <c r="I292" i="136"/>
  <c r="V292" i="136"/>
  <c r="I293" i="136"/>
  <c r="V293" i="136"/>
  <c r="I294" i="136"/>
  <c r="V294" i="136"/>
  <c r="I295" i="136"/>
  <c r="V295" i="136"/>
  <c r="I13" i="136"/>
  <c r="D13" i="137" s="1"/>
  <c r="I14" i="136"/>
  <c r="I16" i="136"/>
  <c r="I18" i="136"/>
  <c r="I19" i="136"/>
  <c r="I20" i="136"/>
  <c r="I21" i="136"/>
  <c r="I22" i="136"/>
  <c r="I23" i="136"/>
  <c r="I24" i="136"/>
  <c r="I25" i="136"/>
  <c r="I26" i="136"/>
  <c r="I27" i="136"/>
  <c r="I28" i="136"/>
  <c r="I29" i="136"/>
  <c r="I30" i="136"/>
  <c r="I31" i="136"/>
  <c r="I32" i="136"/>
  <c r="I33" i="136"/>
  <c r="I34" i="136"/>
  <c r="I35" i="136"/>
  <c r="I36" i="136"/>
  <c r="I37" i="136"/>
  <c r="I38" i="136"/>
  <c r="I39" i="136"/>
  <c r="I40" i="136"/>
  <c r="I41" i="136"/>
  <c r="I42" i="136"/>
  <c r="I43" i="136"/>
  <c r="I44" i="136"/>
  <c r="I45" i="136"/>
  <c r="I46" i="136"/>
  <c r="I47" i="136"/>
  <c r="I48" i="136"/>
  <c r="I49" i="136"/>
  <c r="I50" i="136"/>
  <c r="I51" i="136"/>
  <c r="I52" i="136"/>
  <c r="I53" i="136"/>
  <c r="I54" i="136"/>
  <c r="I55" i="136"/>
  <c r="I56" i="136"/>
  <c r="I57" i="136"/>
  <c r="I58" i="136"/>
  <c r="I59" i="136"/>
  <c r="I60" i="136"/>
  <c r="I61" i="136"/>
  <c r="I62" i="136"/>
  <c r="I63" i="136"/>
  <c r="I64" i="136"/>
  <c r="I65" i="136"/>
  <c r="I66" i="136"/>
  <c r="I67" i="136"/>
  <c r="I68" i="136"/>
  <c r="I69" i="136"/>
  <c r="I70" i="136"/>
  <c r="I71" i="136"/>
  <c r="I72" i="136"/>
  <c r="I73" i="136"/>
  <c r="I74" i="136"/>
  <c r="I75" i="136"/>
  <c r="I76" i="136"/>
  <c r="I77" i="136"/>
  <c r="I78" i="136"/>
  <c r="I79" i="136"/>
  <c r="I80" i="136"/>
  <c r="I81" i="136"/>
  <c r="I82" i="136"/>
  <c r="I83" i="136"/>
  <c r="I84" i="136"/>
  <c r="I85" i="136"/>
  <c r="I86" i="136"/>
  <c r="I87" i="136"/>
  <c r="I88" i="136"/>
  <c r="I89" i="136"/>
  <c r="I90" i="136"/>
  <c r="I91" i="136"/>
  <c r="I92" i="136"/>
  <c r="I93" i="136"/>
  <c r="I94" i="136"/>
  <c r="I95" i="136"/>
  <c r="I96" i="136"/>
  <c r="I97" i="136"/>
  <c r="I98" i="136"/>
  <c r="I99" i="136"/>
  <c r="I100" i="136"/>
  <c r="I101" i="136"/>
  <c r="I102" i="136"/>
  <c r="I103" i="136"/>
  <c r="I104" i="136"/>
  <c r="I105" i="136"/>
  <c r="I106" i="136"/>
  <c r="I107" i="136"/>
  <c r="I108" i="136"/>
  <c r="I109" i="136"/>
  <c r="I110" i="136"/>
  <c r="I111" i="136"/>
  <c r="I112" i="136"/>
  <c r="I113" i="136"/>
  <c r="I114" i="136"/>
  <c r="I115" i="136"/>
  <c r="I116" i="136"/>
  <c r="I117" i="136"/>
  <c r="I118" i="136"/>
  <c r="I119" i="136"/>
  <c r="I120" i="136"/>
  <c r="I121" i="136"/>
  <c r="I122" i="136"/>
  <c r="I123" i="136"/>
  <c r="I124" i="136"/>
  <c r="I125" i="136"/>
  <c r="I126" i="136"/>
  <c r="I127" i="136"/>
  <c r="I128" i="136"/>
  <c r="I129" i="136"/>
  <c r="I130" i="136"/>
  <c r="I131" i="136"/>
  <c r="I132" i="136"/>
  <c r="I133" i="136"/>
  <c r="I134" i="136"/>
  <c r="I135" i="136"/>
  <c r="I136" i="136"/>
  <c r="I137" i="136"/>
  <c r="I138" i="136"/>
  <c r="I139" i="136"/>
  <c r="I140" i="136"/>
  <c r="I141" i="136"/>
  <c r="I142" i="136"/>
  <c r="I143" i="136"/>
  <c r="D5" i="137" l="1"/>
  <c r="D4" i="137" s="1"/>
  <c r="D3" i="137" s="1"/>
  <c r="W443" i="136"/>
  <c r="W463" i="136"/>
  <c r="W467" i="136"/>
  <c r="W509" i="136"/>
  <c r="W499" i="136"/>
  <c r="W412" i="136"/>
  <c r="W444" i="136"/>
  <c r="W452" i="136"/>
  <c r="W468" i="136"/>
  <c r="W500" i="136"/>
  <c r="W290" i="136"/>
  <c r="W282" i="136"/>
  <c r="W317" i="136"/>
  <c r="W321" i="136"/>
  <c r="W333" i="136"/>
  <c r="W337" i="136"/>
  <c r="W345" i="136"/>
  <c r="W365" i="136"/>
  <c r="W369" i="136"/>
  <c r="W377" i="136"/>
  <c r="W385" i="136"/>
  <c r="W401" i="136"/>
  <c r="W481" i="136"/>
  <c r="W399" i="136"/>
  <c r="W476" i="136"/>
  <c r="W279" i="136"/>
  <c r="W275" i="136"/>
  <c r="W267" i="136"/>
  <c r="W263" i="136"/>
  <c r="W251" i="136"/>
  <c r="W247" i="136"/>
  <c r="W235" i="136"/>
  <c r="W227" i="136"/>
  <c r="W219" i="136"/>
  <c r="W211" i="136"/>
  <c r="W388" i="136"/>
  <c r="W281" i="136"/>
  <c r="W249" i="136"/>
  <c r="W245" i="136"/>
  <c r="W229" i="136"/>
  <c r="W209" i="136"/>
  <c r="W382" i="136"/>
  <c r="W409" i="136"/>
  <c r="W417" i="136"/>
  <c r="W433" i="136"/>
  <c r="W457" i="136"/>
  <c r="W331" i="136"/>
  <c r="W343" i="136"/>
  <c r="W347" i="136"/>
  <c r="W367" i="136"/>
  <c r="W375" i="136"/>
  <c r="W383" i="136"/>
  <c r="W396" i="136"/>
  <c r="W492" i="136"/>
  <c r="W497" i="136"/>
  <c r="W196" i="136"/>
  <c r="W180" i="136"/>
  <c r="W176" i="136"/>
  <c r="W307" i="136"/>
  <c r="W303" i="136"/>
  <c r="W311" i="136"/>
  <c r="W315" i="136"/>
  <c r="W339" i="136"/>
  <c r="W363" i="136"/>
  <c r="W371" i="136"/>
  <c r="W379" i="136"/>
  <c r="W387" i="136"/>
  <c r="W316" i="136"/>
  <c r="W324" i="136"/>
  <c r="W336" i="136"/>
  <c r="W340" i="136"/>
  <c r="W348" i="136"/>
  <c r="W352" i="136"/>
  <c r="W356" i="136"/>
  <c r="W364" i="136"/>
  <c r="W368" i="136"/>
  <c r="W411" i="136"/>
  <c r="W459" i="136"/>
  <c r="W475" i="136"/>
  <c r="W498" i="136"/>
  <c r="W400" i="136"/>
  <c r="W491" i="136"/>
  <c r="W278" i="136"/>
  <c r="W274" i="136"/>
  <c r="W270" i="136"/>
  <c r="W266" i="136"/>
  <c r="W258" i="136"/>
  <c r="W254" i="136"/>
  <c r="W242" i="136"/>
  <c r="W238" i="136"/>
  <c r="W234" i="136"/>
  <c r="W230" i="136"/>
  <c r="W226" i="136"/>
  <c r="W218" i="136"/>
  <c r="W214" i="136"/>
  <c r="W353" i="136"/>
  <c r="W169" i="136"/>
  <c r="W314" i="136"/>
  <c r="W330" i="136"/>
  <c r="W441" i="136"/>
  <c r="W445" i="136"/>
  <c r="W449" i="136"/>
  <c r="W461" i="136"/>
  <c r="W465" i="136"/>
  <c r="W473" i="136"/>
  <c r="W477" i="136"/>
  <c r="W508" i="136"/>
  <c r="W326" i="136"/>
  <c r="W342" i="136"/>
  <c r="W350" i="136"/>
  <c r="W502" i="136"/>
  <c r="W224" i="136"/>
  <c r="W358" i="136"/>
  <c r="W366" i="136"/>
  <c r="W370" i="136"/>
  <c r="W393" i="136"/>
  <c r="W436" i="136"/>
  <c r="W460" i="136"/>
  <c r="W484" i="136"/>
  <c r="W507" i="136"/>
  <c r="W332" i="136"/>
  <c r="W402" i="136"/>
  <c r="W489" i="136"/>
  <c r="W372" i="136"/>
  <c r="W395" i="136"/>
  <c r="W418" i="136"/>
  <c r="W422" i="136"/>
  <c r="W434" i="136"/>
  <c r="W438" i="136"/>
  <c r="W446" i="136"/>
  <c r="W454" i="136"/>
  <c r="W470" i="136"/>
  <c r="W285" i="136"/>
  <c r="W329" i="136"/>
  <c r="W380" i="136"/>
  <c r="W403" i="136"/>
  <c r="W482" i="136"/>
  <c r="W407" i="136"/>
  <c r="W503" i="136"/>
  <c r="W283" i="136"/>
  <c r="W359" i="136"/>
  <c r="W404" i="136"/>
  <c r="W427" i="136"/>
  <c r="W431" i="136"/>
  <c r="W420" i="136"/>
  <c r="W428" i="136"/>
  <c r="W483" i="136"/>
  <c r="W505" i="136"/>
  <c r="W361" i="136"/>
  <c r="W425" i="136"/>
  <c r="W429" i="136"/>
  <c r="W510" i="136"/>
  <c r="W293" i="136"/>
  <c r="W273" i="136"/>
  <c r="W253" i="136"/>
  <c r="W217" i="136"/>
  <c r="W186" i="136"/>
  <c r="W182" i="136"/>
  <c r="W174" i="136"/>
  <c r="W158" i="136"/>
  <c r="W309" i="136"/>
  <c r="W320" i="136"/>
  <c r="W323" i="136"/>
  <c r="W327" i="136"/>
  <c r="W351" i="136"/>
  <c r="W354" i="136"/>
  <c r="W406" i="136"/>
  <c r="W413" i="136"/>
  <c r="W430" i="136"/>
  <c r="W451" i="136"/>
  <c r="W455" i="136"/>
  <c r="W478" i="136"/>
  <c r="W495" i="136"/>
  <c r="W201" i="136"/>
  <c r="W197" i="136"/>
  <c r="W193" i="136"/>
  <c r="W181" i="136"/>
  <c r="W177" i="136"/>
  <c r="W161" i="136"/>
  <c r="W153" i="136"/>
  <c r="W145" i="136"/>
  <c r="W308" i="136"/>
  <c r="W334" i="136"/>
  <c r="W355" i="136"/>
  <c r="W386" i="136"/>
  <c r="W462" i="136"/>
  <c r="W479" i="136"/>
  <c r="W280" i="136"/>
  <c r="W276" i="136"/>
  <c r="W264" i="136"/>
  <c r="W260" i="136"/>
  <c r="W248" i="136"/>
  <c r="W212" i="136"/>
  <c r="W335" i="136"/>
  <c r="W390" i="136"/>
  <c r="W397" i="136"/>
  <c r="W414" i="136"/>
  <c r="W432" i="136"/>
  <c r="W435" i="136"/>
  <c r="W439" i="136"/>
  <c r="W466" i="136"/>
  <c r="W486" i="136"/>
  <c r="W493" i="136"/>
  <c r="W346" i="136"/>
  <c r="W349" i="136"/>
  <c r="W384" i="136"/>
  <c r="W391" i="136"/>
  <c r="W415" i="136"/>
  <c r="W487" i="136"/>
  <c r="W250" i="136"/>
  <c r="W222" i="136"/>
  <c r="W203" i="136"/>
  <c r="W167" i="136"/>
  <c r="W159" i="136"/>
  <c r="W151" i="136"/>
  <c r="W306" i="136"/>
  <c r="W298" i="136"/>
  <c r="W319" i="136"/>
  <c r="W374" i="136"/>
  <c r="W381" i="136"/>
  <c r="W398" i="136"/>
  <c r="W416" i="136"/>
  <c r="W419" i="136"/>
  <c r="W423" i="136"/>
  <c r="W447" i="136"/>
  <c r="W450" i="136"/>
  <c r="W471" i="136"/>
  <c r="W494" i="136"/>
  <c r="W259" i="136"/>
  <c r="W241" i="136"/>
  <c r="W150" i="136"/>
  <c r="W312" i="136"/>
  <c r="W322" i="136"/>
  <c r="W325" i="136"/>
  <c r="W338" i="136"/>
  <c r="W341" i="136"/>
  <c r="W357" i="136"/>
  <c r="W373" i="136"/>
  <c r="W389" i="136"/>
  <c r="W405" i="136"/>
  <c r="W421" i="136"/>
  <c r="W437" i="136"/>
  <c r="W453" i="136"/>
  <c r="W469" i="136"/>
  <c r="W485" i="136"/>
  <c r="W501" i="136"/>
  <c r="W286" i="136"/>
  <c r="W262" i="136"/>
  <c r="W244" i="136"/>
  <c r="W237" i="136"/>
  <c r="W233" i="136"/>
  <c r="W225" i="136"/>
  <c r="W207" i="136"/>
  <c r="W195" i="136"/>
  <c r="W192" i="136"/>
  <c r="W301" i="136"/>
  <c r="W313" i="136"/>
  <c r="W448" i="136"/>
  <c r="W464" i="136"/>
  <c r="W480" i="136"/>
  <c r="W496" i="136"/>
  <c r="W289" i="136"/>
  <c r="W243" i="136"/>
  <c r="W221" i="136"/>
  <c r="W206" i="136"/>
  <c r="W191" i="136"/>
  <c r="W187" i="136"/>
  <c r="W168" i="136"/>
  <c r="W300" i="136"/>
  <c r="W292" i="136"/>
  <c r="W277" i="136"/>
  <c r="W269" i="136"/>
  <c r="W265" i="136"/>
  <c r="W261" i="136"/>
  <c r="W257" i="136"/>
  <c r="W246" i="136"/>
  <c r="W213" i="136"/>
  <c r="W202" i="136"/>
  <c r="W198" i="136"/>
  <c r="W190" i="136"/>
  <c r="W179" i="136"/>
  <c r="W175" i="136"/>
  <c r="W160" i="136"/>
  <c r="W152" i="136"/>
  <c r="W144" i="136"/>
  <c r="W362" i="136"/>
  <c r="W378" i="136"/>
  <c r="W394" i="136"/>
  <c r="W410" i="136"/>
  <c r="W426" i="136"/>
  <c r="W442" i="136"/>
  <c r="W458" i="136"/>
  <c r="W474" i="136"/>
  <c r="W490" i="136"/>
  <c r="W506" i="136"/>
  <c r="W295" i="136"/>
  <c r="W291" i="136"/>
  <c r="W147" i="136"/>
  <c r="W299" i="136"/>
  <c r="W294" i="136"/>
  <c r="W185" i="136"/>
  <c r="W166" i="136"/>
  <c r="W328" i="136"/>
  <c r="W344" i="136"/>
  <c r="W360" i="136"/>
  <c r="W376" i="136"/>
  <c r="W392" i="136"/>
  <c r="W408" i="136"/>
  <c r="W424" i="136"/>
  <c r="W440" i="136"/>
  <c r="W456" i="136"/>
  <c r="W472" i="136"/>
  <c r="W488" i="136"/>
  <c r="W504" i="136"/>
  <c r="W318" i="136"/>
  <c r="W288" i="136"/>
  <c r="W239" i="136"/>
  <c r="W236" i="136"/>
  <c r="W223" i="136"/>
  <c r="W220" i="136"/>
  <c r="W210" i="136"/>
  <c r="W200" i="136"/>
  <c r="W183" i="136"/>
  <c r="W173" i="136"/>
  <c r="W162" i="136"/>
  <c r="W155" i="136"/>
  <c r="W148" i="136"/>
  <c r="W305" i="136"/>
  <c r="W287" i="136"/>
  <c r="W284" i="136"/>
  <c r="W272" i="136"/>
  <c r="W232" i="136"/>
  <c r="W216" i="136"/>
  <c r="W199" i="136"/>
  <c r="W189" i="136"/>
  <c r="W172" i="136"/>
  <c r="W165" i="136"/>
  <c r="W154" i="136"/>
  <c r="W310" i="136"/>
  <c r="W304" i="136"/>
  <c r="W271" i="136"/>
  <c r="W268" i="136"/>
  <c r="W256" i="136"/>
  <c r="W231" i="136"/>
  <c r="W228" i="136"/>
  <c r="W215" i="136"/>
  <c r="W208" i="136"/>
  <c r="W205" i="136"/>
  <c r="W188" i="136"/>
  <c r="W178" i="136"/>
  <c r="W171" i="136"/>
  <c r="W164" i="136"/>
  <c r="W157" i="136"/>
  <c r="W146" i="136"/>
  <c r="W297" i="136"/>
  <c r="W255" i="136"/>
  <c r="W252" i="136"/>
  <c r="W240" i="136"/>
  <c r="W204" i="136"/>
  <c r="W194" i="136"/>
  <c r="W184" i="136"/>
  <c r="W170" i="136"/>
  <c r="W163" i="136"/>
  <c r="W156" i="136"/>
  <c r="W149" i="136"/>
  <c r="W302" i="136"/>
  <c r="W296" i="136"/>
  <c r="D129" i="137" l="1"/>
  <c r="V12" i="136"/>
  <c r="V13" i="136"/>
  <c r="V14" i="136"/>
  <c r="V15" i="136"/>
  <c r="W15" i="136" s="1"/>
  <c r="V16" i="136"/>
  <c r="V17" i="136"/>
  <c r="V19" i="136"/>
  <c r="V20" i="136"/>
  <c r="V21" i="136"/>
  <c r="V22" i="136"/>
  <c r="V23" i="136"/>
  <c r="V24" i="136"/>
  <c r="V25" i="136"/>
  <c r="V26" i="136"/>
  <c r="V27" i="136"/>
  <c r="V28" i="136"/>
  <c r="V29" i="136"/>
  <c r="V30" i="136"/>
  <c r="V31" i="136"/>
  <c r="V32" i="136"/>
  <c r="V33" i="136"/>
  <c r="V34" i="136"/>
  <c r="V35" i="136"/>
  <c r="V36" i="136"/>
  <c r="V37" i="136"/>
  <c r="V38" i="136"/>
  <c r="V39" i="136"/>
  <c r="V40" i="136"/>
  <c r="V41" i="136"/>
  <c r="V42" i="136"/>
  <c r="V43" i="136"/>
  <c r="V44" i="136"/>
  <c r="V45" i="136"/>
  <c r="V46" i="136"/>
  <c r="V47" i="136"/>
  <c r="V48" i="136"/>
  <c r="V49" i="136"/>
  <c r="V50" i="136"/>
  <c r="V51" i="136"/>
  <c r="V52" i="136"/>
  <c r="V53" i="136"/>
  <c r="V54" i="136"/>
  <c r="V55" i="136"/>
  <c r="V56" i="136"/>
  <c r="V57" i="136"/>
  <c r="V58" i="136"/>
  <c r="V59" i="136"/>
  <c r="V60" i="136"/>
  <c r="V61" i="136"/>
  <c r="V62" i="136"/>
  <c r="V63" i="136"/>
  <c r="V64" i="136"/>
  <c r="V65" i="136"/>
  <c r="V66" i="136"/>
  <c r="V67" i="136"/>
  <c r="V68" i="136"/>
  <c r="V69" i="136"/>
  <c r="V70" i="136"/>
  <c r="V71" i="136"/>
  <c r="V72" i="136"/>
  <c r="V73" i="136"/>
  <c r="V74" i="136"/>
  <c r="V75" i="136"/>
  <c r="V76" i="136"/>
  <c r="V77" i="136"/>
  <c r="V78" i="136"/>
  <c r="V79" i="136"/>
  <c r="V80" i="136"/>
  <c r="V81" i="136"/>
  <c r="V82" i="136"/>
  <c r="V83" i="136"/>
  <c r="V84" i="136"/>
  <c r="V85" i="136"/>
  <c r="V86" i="136"/>
  <c r="V87" i="136"/>
  <c r="V88" i="136"/>
  <c r="V89" i="136"/>
  <c r="V90" i="136"/>
  <c r="V91" i="136"/>
  <c r="V92" i="136"/>
  <c r="V93" i="136"/>
  <c r="V94" i="136"/>
  <c r="V95" i="136"/>
  <c r="V96" i="136"/>
  <c r="V97" i="136"/>
  <c r="V98" i="136"/>
  <c r="V99" i="136"/>
  <c r="V100" i="136"/>
  <c r="V101" i="136"/>
  <c r="V102" i="136"/>
  <c r="V103" i="136"/>
  <c r="V104" i="136"/>
  <c r="V105" i="136"/>
  <c r="V106" i="136"/>
  <c r="V107" i="136"/>
  <c r="V108" i="136"/>
  <c r="V109" i="136"/>
  <c r="V110" i="136"/>
  <c r="V111" i="136"/>
  <c r="V112" i="136"/>
  <c r="V113" i="136"/>
  <c r="V114" i="136"/>
  <c r="V115" i="136"/>
  <c r="V116" i="136"/>
  <c r="V117" i="136"/>
  <c r="V118" i="136"/>
  <c r="V119" i="136"/>
  <c r="V120" i="136"/>
  <c r="V121" i="136"/>
  <c r="V122" i="136"/>
  <c r="V123" i="136"/>
  <c r="V124" i="136"/>
  <c r="V125" i="136"/>
  <c r="V126" i="136"/>
  <c r="V127" i="136"/>
  <c r="V128" i="136"/>
  <c r="V129" i="136"/>
  <c r="V130" i="136"/>
  <c r="V131" i="136"/>
  <c r="V132" i="136"/>
  <c r="V133" i="136"/>
  <c r="V134" i="136"/>
  <c r="V135" i="136"/>
  <c r="V136" i="136"/>
  <c r="V137" i="136"/>
  <c r="V138" i="136"/>
  <c r="V139" i="136"/>
  <c r="V140" i="136"/>
  <c r="V141" i="136"/>
  <c r="V142" i="136"/>
  <c r="V143" i="136"/>
  <c r="W42" i="136" l="1"/>
  <c r="V11" i="136"/>
  <c r="W18" i="136"/>
  <c r="W20" i="136"/>
  <c r="W22" i="136"/>
  <c r="W23" i="136"/>
  <c r="W24" i="136"/>
  <c r="W25" i="136"/>
  <c r="W26" i="136"/>
  <c r="W27" i="136"/>
  <c r="W28" i="136"/>
  <c r="W29" i="136"/>
  <c r="W30" i="136"/>
  <c r="W31" i="136"/>
  <c r="W32" i="136"/>
  <c r="W33" i="136"/>
  <c r="W34" i="136"/>
  <c r="W35" i="136"/>
  <c r="W36" i="136"/>
  <c r="W37" i="136"/>
  <c r="W38" i="136"/>
  <c r="W39" i="136"/>
  <c r="W40" i="136"/>
  <c r="W41" i="136"/>
  <c r="W43" i="136"/>
  <c r="W44" i="136"/>
  <c r="W45" i="136"/>
  <c r="W46" i="136"/>
  <c r="W47" i="136"/>
  <c r="W48" i="136"/>
  <c r="W49" i="136"/>
  <c r="W50" i="136"/>
  <c r="W51" i="136"/>
  <c r="W54" i="136"/>
  <c r="W55" i="136"/>
  <c r="W56" i="136"/>
  <c r="W57" i="136"/>
  <c r="W58" i="136"/>
  <c r="W59" i="136"/>
  <c r="W60" i="136"/>
  <c r="W61" i="136"/>
  <c r="W62" i="136"/>
  <c r="W63" i="136"/>
  <c r="W64" i="136"/>
  <c r="W65" i="136"/>
  <c r="W66" i="136"/>
  <c r="W67" i="136"/>
  <c r="W68" i="136"/>
  <c r="W69" i="136"/>
  <c r="W70" i="136"/>
  <c r="W71" i="136"/>
  <c r="W72" i="136"/>
  <c r="W73" i="136"/>
  <c r="W74" i="136"/>
  <c r="W75" i="136"/>
  <c r="W76" i="136"/>
  <c r="W77" i="136"/>
  <c r="W78" i="136"/>
  <c r="W79" i="136"/>
  <c r="W80" i="136"/>
  <c r="W81" i="136"/>
  <c r="W82" i="136"/>
  <c r="W83" i="136"/>
  <c r="W84" i="136"/>
  <c r="W85" i="136"/>
  <c r="W86" i="136"/>
  <c r="W87" i="136"/>
  <c r="W88" i="136"/>
  <c r="W89" i="136"/>
  <c r="W90" i="136"/>
  <c r="W91" i="136"/>
  <c r="W92" i="136"/>
  <c r="W93" i="136"/>
  <c r="W94" i="136"/>
  <c r="W95" i="136"/>
  <c r="W96" i="136"/>
  <c r="W97" i="136"/>
  <c r="W98" i="136"/>
  <c r="W99" i="136"/>
  <c r="W100" i="136"/>
  <c r="W101" i="136"/>
  <c r="W102" i="136"/>
  <c r="W103" i="136"/>
  <c r="W104" i="136"/>
  <c r="W105" i="136"/>
  <c r="W106" i="136"/>
  <c r="W107" i="136"/>
  <c r="W108" i="136"/>
  <c r="W109" i="136"/>
  <c r="W110" i="136"/>
  <c r="W111" i="136"/>
  <c r="W112" i="136"/>
  <c r="W113" i="136"/>
  <c r="W114" i="136"/>
  <c r="W115" i="136"/>
  <c r="W116" i="136"/>
  <c r="W117" i="136"/>
  <c r="W118" i="136"/>
  <c r="W119" i="136"/>
  <c r="W120" i="136"/>
  <c r="W121" i="136"/>
  <c r="W122" i="136"/>
  <c r="W123" i="136"/>
  <c r="W124" i="136"/>
  <c r="W125" i="136"/>
  <c r="W126" i="136"/>
  <c r="W127" i="136"/>
  <c r="W128" i="136"/>
  <c r="W129" i="136"/>
  <c r="W130" i="136"/>
  <c r="W131" i="136"/>
  <c r="W132" i="136"/>
  <c r="W133" i="136"/>
  <c r="W134" i="136"/>
  <c r="W135" i="136"/>
  <c r="W136" i="136"/>
  <c r="W137" i="136"/>
  <c r="W138" i="136"/>
  <c r="W139" i="136"/>
  <c r="W140" i="136"/>
  <c r="W141" i="136"/>
  <c r="W142" i="136"/>
  <c r="W143" i="136"/>
  <c r="W17" i="136" l="1"/>
  <c r="W52" i="136"/>
  <c r="W53" i="136"/>
  <c r="W16" i="136"/>
  <c r="W21" i="136"/>
  <c r="W19" i="136"/>
  <c r="W14" i="136"/>
  <c r="W13" i="136"/>
  <c r="W12" i="136"/>
  <c r="W11" i="136"/>
</calcChain>
</file>

<file path=xl/sharedStrings.xml><?xml version="1.0" encoding="utf-8"?>
<sst xmlns="http://schemas.openxmlformats.org/spreadsheetml/2006/main" count="211" uniqueCount="210">
  <si>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</si>
  <si>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</si>
  <si>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</si>
  <si>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</si>
  <si>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</si>
  <si>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</si>
  <si>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</si>
  <si>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</si>
  <si>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</si>
  <si>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</si>
  <si>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</si>
  <si>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</si>
  <si>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DESCRIPCIÓN</t>
  </si>
  <si>
    <t>MATERIALES Y SUMINISTROS</t>
  </si>
  <si>
    <t>TOTAL PRESUPUESTO</t>
  </si>
  <si>
    <t>Confecciones Textiles</t>
  </si>
  <si>
    <t>Prendas de Vestir</t>
  </si>
  <si>
    <t>Papel</t>
  </si>
  <si>
    <t>Otros Materiales y Suministros</t>
  </si>
  <si>
    <t>Material de Limpieza</t>
  </si>
  <si>
    <t>Pasajes al Interior del País</t>
  </si>
  <si>
    <t>Viáticos por Viajes al Interior del País</t>
  </si>
  <si>
    <t>Gastos por Alimentación y Otros Similares</t>
  </si>
  <si>
    <t>SERVICIOS PERSONALES</t>
  </si>
  <si>
    <t>11220</t>
  </si>
  <si>
    <t>Bono de Antigüedad</t>
  </si>
  <si>
    <t>11310</t>
  </si>
  <si>
    <t>Bono de Frontera</t>
  </si>
  <si>
    <t>Categorías Médicas</t>
  </si>
  <si>
    <t>Escalafón Médico</t>
  </si>
  <si>
    <t>Otras Bonificaciones</t>
  </si>
  <si>
    <t>11400</t>
  </si>
  <si>
    <t>A g u i n a l d o s</t>
  </si>
  <si>
    <t>11600</t>
  </si>
  <si>
    <t>Asignaciones Familiares</t>
  </si>
  <si>
    <t>11700</t>
  </si>
  <si>
    <t>S  u  e  l  d  o  s</t>
  </si>
  <si>
    <t>Dietas de Directorio</t>
  </si>
  <si>
    <t>11910</t>
  </si>
  <si>
    <t>Horas Extraordinarias</t>
  </si>
  <si>
    <t>Vacaciones No utilizadas</t>
  </si>
  <si>
    <t>12100</t>
  </si>
  <si>
    <t>Personal Eventual</t>
  </si>
  <si>
    <t>13110</t>
  </si>
  <si>
    <t>Regimen de Corto Plazo ( Salud )</t>
  </si>
  <si>
    <t>13120</t>
  </si>
  <si>
    <t>Prima de Riesgo Profesional - Regimen de Largo Plazo</t>
  </si>
  <si>
    <t>Aporte Patronal Solidario 3%</t>
  </si>
  <si>
    <t>13200</t>
  </si>
  <si>
    <t>Aporte Patronal Para Vivienda</t>
  </si>
  <si>
    <t>Incremento Salarial</t>
  </si>
  <si>
    <t>15200</t>
  </si>
  <si>
    <t>Crecimiento Vegetativo</t>
  </si>
  <si>
    <t>Otras Previsiones</t>
  </si>
  <si>
    <t>SERVICIOS NO PERSONALES</t>
  </si>
  <si>
    <t>21100</t>
  </si>
  <si>
    <t>Comunicaciones</t>
  </si>
  <si>
    <t>21200</t>
  </si>
  <si>
    <t xml:space="preserve">Energía Eléctrica </t>
  </si>
  <si>
    <t>21300</t>
  </si>
  <si>
    <t>Agua</t>
  </si>
  <si>
    <t>21400</t>
  </si>
  <si>
    <t>Telefonia</t>
  </si>
  <si>
    <t>21500</t>
  </si>
  <si>
    <t>Gas Domiciliario</t>
  </si>
  <si>
    <t>Internet y Otros</t>
  </si>
  <si>
    <t>Pasajes al Exterior del País</t>
  </si>
  <si>
    <t>Viáticos por Viajes al Exterior del Ppaís</t>
  </si>
  <si>
    <t>22300</t>
  </si>
  <si>
    <t>Fletes y Almacenamiento</t>
  </si>
  <si>
    <t>22500</t>
  </si>
  <si>
    <t>S e g u r o s</t>
  </si>
  <si>
    <t>22600</t>
  </si>
  <si>
    <t>Transporte de Personal</t>
  </si>
  <si>
    <t>23100</t>
  </si>
  <si>
    <t xml:space="preserve">Alquiler de Edificios </t>
  </si>
  <si>
    <t>23200</t>
  </si>
  <si>
    <t>Alquiler de Equipos y Maquinarias</t>
  </si>
  <si>
    <t>Otros Alquiileres</t>
  </si>
  <si>
    <t>Mantenimiento y Reparacion de Inmuebles</t>
  </si>
  <si>
    <t>Mantenimiento y Reparacion de Vehículos, Maquinaria y Equipos</t>
  </si>
  <si>
    <t>Mantenimiento y Reparacion de Muebles y Enseres</t>
  </si>
  <si>
    <t>Otros Gastos por concepto de Instalacion, redes de datos red LAN</t>
  </si>
  <si>
    <t>Gastos Especializados Por Atención Médica</t>
  </si>
  <si>
    <t>Consultorias Por producto</t>
  </si>
  <si>
    <t>Consultores de Línea</t>
  </si>
  <si>
    <t>Auditorías Externas</t>
  </si>
  <si>
    <t>25300</t>
  </si>
  <si>
    <t>Comisiones y Gastos Bancarios</t>
  </si>
  <si>
    <t>25400</t>
  </si>
  <si>
    <t>Lavandería, Limpieza é Higiene</t>
  </si>
  <si>
    <t>25500</t>
  </si>
  <si>
    <t>Publicidad</t>
  </si>
  <si>
    <t>25600</t>
  </si>
  <si>
    <t>Servicios de Imprenta y Fotocopiado y Fotográficos</t>
  </si>
  <si>
    <t>25700</t>
  </si>
  <si>
    <t>Capacitación del Personal</t>
  </si>
  <si>
    <t>Servicios Manuales</t>
  </si>
  <si>
    <t>26200</t>
  </si>
  <si>
    <t>Gastos Judiciales</t>
  </si>
  <si>
    <t>Servicios Públicos</t>
  </si>
  <si>
    <t>Servicios Privados</t>
  </si>
  <si>
    <t>Servicio Traslado de Valores</t>
  </si>
  <si>
    <t>Aguinaldo Esfuerzo por Bolivia</t>
  </si>
  <si>
    <t>Otros</t>
  </si>
  <si>
    <t>Gastos Destinados al Pago de Refrigerios al Personal de Instituciones Públicas</t>
  </si>
  <si>
    <t>Alimentacion Hospitalaria, Penitenciaria, Aeronaves y Otras Específicas</t>
  </si>
  <si>
    <t>32100</t>
  </si>
  <si>
    <t>32200</t>
  </si>
  <si>
    <t>Productos de Artes Gráficas</t>
  </si>
  <si>
    <t>Libros Manuales y Revistas</t>
  </si>
  <si>
    <t>Periódicos y Boletines</t>
  </si>
  <si>
    <t>33100</t>
  </si>
  <si>
    <t>Hilados y Telas</t>
  </si>
  <si>
    <t>33200</t>
  </si>
  <si>
    <t>33300</t>
  </si>
  <si>
    <t>33400</t>
  </si>
  <si>
    <t>C a l z a d o s</t>
  </si>
  <si>
    <t xml:space="preserve"> Combustibles, Lubricantes y  Derivados para Consumo </t>
  </si>
  <si>
    <t>34200</t>
  </si>
  <si>
    <t>Productos Quimicos  y Farmaceúticos</t>
  </si>
  <si>
    <t>34300</t>
  </si>
  <si>
    <t xml:space="preserve">Llantas y Neumáticos </t>
  </si>
  <si>
    <t>34400</t>
  </si>
  <si>
    <t>Productos de Cuero y Caucho</t>
  </si>
  <si>
    <t>34500</t>
  </si>
  <si>
    <t>Productos de Minerales no Metálicos y Plásticos</t>
  </si>
  <si>
    <t>Productos Metálicos</t>
  </si>
  <si>
    <t>34800</t>
  </si>
  <si>
    <t>Herramientas Menores</t>
  </si>
  <si>
    <t>39100</t>
  </si>
  <si>
    <t>39200</t>
  </si>
  <si>
    <t>Material Deportivo y Recreativo</t>
  </si>
  <si>
    <t>39300</t>
  </si>
  <si>
    <t>Utensilios de Cocina y Comedor</t>
  </si>
  <si>
    <t>39400</t>
  </si>
  <si>
    <t>Instrumental Menor Medico-Quirúrgico</t>
  </si>
  <si>
    <t>39500</t>
  </si>
  <si>
    <t>Utiles de Escritorio y Oficina</t>
  </si>
  <si>
    <t xml:space="preserve">Utiles Educacionales, Culturales y de Capacitación </t>
  </si>
  <si>
    <t>39700</t>
  </si>
  <si>
    <t>Utiles y Materiales Eléctricos</t>
  </si>
  <si>
    <t>39800</t>
  </si>
  <si>
    <t>Otros Repuestos y Accesorios</t>
  </si>
  <si>
    <t>ACTIVOS REALES</t>
  </si>
  <si>
    <t>Edificios</t>
  </si>
  <si>
    <t>Tierras y Terrenos</t>
  </si>
  <si>
    <t>Otras Adquisiciones</t>
  </si>
  <si>
    <t>42230</t>
  </si>
  <si>
    <t>Otras Construcciones y Mejoras de Bienes Públicos de Dominio Privado</t>
  </si>
  <si>
    <t>Supervicion de Construcciones y Mejoras de Bienes Públicos de Dominio Privado</t>
  </si>
  <si>
    <t>Equipo de Oficina y Muebles</t>
  </si>
  <si>
    <t>Equipo de Computación</t>
  </si>
  <si>
    <t>Vehiculos Livianos para Funciones Administrativas</t>
  </si>
  <si>
    <t>Maquinaria y equippo de Transporte de Tracción</t>
  </si>
  <si>
    <t>Equipo de Elevación</t>
  </si>
  <si>
    <t>43400</t>
  </si>
  <si>
    <t>Equipo Medico y de Laboratorio</t>
  </si>
  <si>
    <t>43500</t>
  </si>
  <si>
    <t>Equipo  de Comunicación</t>
  </si>
  <si>
    <t>43600</t>
  </si>
  <si>
    <t>Equipo Educacional y Recreativo</t>
  </si>
  <si>
    <t>43700</t>
  </si>
  <si>
    <t>Otra Maquinaria y Equipo</t>
  </si>
  <si>
    <t>Estudios para Proyectos de Inversión</t>
  </si>
  <si>
    <t>Activos Intangibles</t>
  </si>
  <si>
    <t>Otros Activos Fijos</t>
  </si>
  <si>
    <t>ACTIVOS FINANCIEROS</t>
  </si>
  <si>
    <t>57100</t>
  </si>
  <si>
    <t>Incremento de Caja y Bancos</t>
  </si>
  <si>
    <t>SERVICIOS DE LA DEUDA PUBLICA Y DISM.DE OTROS PASIVOS</t>
  </si>
  <si>
    <t>Amortizacion de la Deuda Publica Externa a Corto Plazo</t>
  </si>
  <si>
    <t>Interes de la Deuda Publica Externa Corto Plazo</t>
  </si>
  <si>
    <t>Comisiones y Otros Gastos de la Deuda Publica Externa  C.P.</t>
  </si>
  <si>
    <t>Gastos Devengados no Pagados por Serv. Personales</t>
  </si>
  <si>
    <t>Gastos Dev. no Pag. por Serv. No Pers., Mat. Y Sum, Act. Reales y fin. Y Serv. De la Deuda.</t>
  </si>
  <si>
    <t>Gastos Devengados no Pagados Por Transferencias</t>
  </si>
  <si>
    <t>Gastos Devengados No Pagados por Retenciones</t>
  </si>
  <si>
    <t>68200</t>
  </si>
  <si>
    <t>Pago de Beneficios Sociales</t>
  </si>
  <si>
    <t>T R A N S F E R E N C I A S</t>
  </si>
  <si>
    <t xml:space="preserve">Becas de Estudio, Otogadas a Estudiantes Universitarios </t>
  </si>
  <si>
    <t>73100</t>
  </si>
  <si>
    <t>Transferencias Corrientes al Organo Ejecutivo del Estado Plurinacional por Subsidios o subvenciones</t>
  </si>
  <si>
    <t>Transferencias Corrientes al Asur</t>
  </si>
  <si>
    <t xml:space="preserve">OTROS GASTOS </t>
  </si>
  <si>
    <t xml:space="preserve">Indeminización </t>
  </si>
  <si>
    <t>Desahucio</t>
  </si>
  <si>
    <t>Devoluciones</t>
  </si>
  <si>
    <t>Otras Perdidas</t>
  </si>
  <si>
    <t>Provisiones Para Gastos de Capital</t>
  </si>
  <si>
    <t>Provisiones Para Gastos Corrientes</t>
  </si>
  <si>
    <t xml:space="preserve">T O T A L E S </t>
  </si>
  <si>
    <t>N°</t>
  </si>
  <si>
    <t>UNIDAD DE MEDIDA</t>
  </si>
  <si>
    <t>PRECIO UNITARIO</t>
  </si>
  <si>
    <t xml:space="preserve">PARTIDA </t>
  </si>
  <si>
    <t>TOTAL FF</t>
  </si>
  <si>
    <t>OBSERVACION</t>
  </si>
  <si>
    <t>CANTIDAD</t>
  </si>
  <si>
    <t>COD_ACT</t>
  </si>
  <si>
    <t>RESUMEN DE PARTIDAS</t>
  </si>
  <si>
    <t>DEPARTAMENTO NACIONAL DE PLANIFICACION - CNS</t>
  </si>
  <si>
    <t>PLAN OPERATIVO ANUAL 2026 - PROGRAMACIÓN FÍSICO FINANCIERO</t>
  </si>
  <si>
    <r>
      <t xml:space="preserve">REGIONAL/DEPARTAMENTO : </t>
    </r>
    <r>
      <rPr>
        <b/>
        <sz val="8"/>
        <color rgb="FFFF0000"/>
        <rFont val="Bookman Old Style"/>
        <family val="1"/>
      </rPr>
      <t>REGIONAL (Ver Poa 2025 *)</t>
    </r>
  </si>
  <si>
    <r>
      <t xml:space="preserve">UNIDAD EJECUTORA : </t>
    </r>
    <r>
      <rPr>
        <b/>
        <sz val="8"/>
        <color rgb="FFFF0000"/>
        <rFont val="Bookman Old Style"/>
        <family val="1"/>
      </rPr>
      <t>DISTRITAL (Ver Poa 2025 *)</t>
    </r>
  </si>
  <si>
    <r>
      <t xml:space="preserve">UNIDAD RESPONSABLE : </t>
    </r>
    <r>
      <rPr>
        <b/>
        <sz val="8"/>
        <color rgb="FFFF0000"/>
        <rFont val="Bookman Old Style"/>
        <family val="1"/>
      </rPr>
      <t>DIRECCION CIMFA/CIS, UNIDAD RESPONSABLE (Ver Poa 2025 *)</t>
    </r>
  </si>
  <si>
    <r>
      <t xml:space="preserve">CAT. PROGRAMATICA 2026 : </t>
    </r>
    <r>
      <rPr>
        <b/>
        <sz val="8"/>
        <color rgb="FFFF0000"/>
        <rFont val="Bookman Old Style"/>
        <family val="1"/>
      </rPr>
      <t>APERTURA - JEFATURA/ESTABLECIMIENTO  (Ver Poa 2025 *)</t>
    </r>
  </si>
  <si>
    <t>T O T A L      G A S T O S  2026</t>
  </si>
  <si>
    <t>TEMPORALIDAD FINANCIERA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</si>
</sst>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.00\ _€_-;\-* #,##0.00\ _€_-;_-* &quot;-&quot;??\ _€_-;_-@_-"/>
    <numFmt numFmtId="166" formatCode="#,##0.00_ ;[Red]\-#,##0.00\ "/>
  </numFmts>
  <fonts count="5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sz val="26"/>
      <name val="Wingdings 2"/>
      <family val="1"/>
      <charset val="2"/>
    </font>
    <font>
      <sz val="6"/>
      <name val="Arial"/>
      <family val="2"/>
    </font>
    <font>
      <b/>
      <sz val="12"/>
      <name val="Arial"/>
      <family val="2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Bookman Old Style"/>
      <family val="1"/>
    </font>
    <font>
      <b/>
      <sz val="9"/>
      <color theme="0"/>
      <name val="Cambria"/>
      <family val="1"/>
    </font>
    <font>
      <b/>
      <sz val="14"/>
      <color theme="0"/>
      <name val="Bookman Old Style"/>
      <family val="1"/>
    </font>
    <font>
      <b/>
      <sz val="12"/>
      <color theme="0"/>
      <name val="Bookman Old Style"/>
      <family val="1"/>
    </font>
    <font>
      <b/>
      <sz val="12"/>
      <color theme="2" tint="-0.749992370372631"/>
      <name val="Bookman Old Style"/>
      <family val="1"/>
    </font>
    <font>
      <b/>
      <sz val="11"/>
      <color theme="2" tint="-0.749992370372631"/>
      <name val="Bookman Old Style"/>
      <family val="1"/>
    </font>
    <font>
      <b/>
      <sz val="11"/>
      <color theme="0"/>
      <name val="Bookman Old Style"/>
      <family val="1"/>
    </font>
    <font>
      <b/>
      <sz val="10"/>
      <color theme="0"/>
      <name val="Bookman Old Style"/>
      <family val="1"/>
    </font>
    <font>
      <b/>
      <sz val="11"/>
      <name val="Bookman Old Style"/>
      <family val="1"/>
    </font>
    <font>
      <b/>
      <sz val="12"/>
      <name val="Bookman Old Style"/>
      <family val="1"/>
    </font>
    <font>
      <b/>
      <u/>
      <sz val="14"/>
      <name val="Arial Black"/>
      <family val="2"/>
    </font>
    <font>
      <sz val="12"/>
      <color theme="1"/>
      <name val="Bookman Old Style"/>
      <family val="1"/>
    </font>
    <font>
      <sz val="11"/>
      <name val="Bookman Old Style"/>
      <family val="1"/>
    </font>
    <font>
      <sz val="10"/>
      <name val="Bookman Old Style"/>
      <family val="1"/>
    </font>
    <font>
      <sz val="8"/>
      <name val="Bookman Old Style"/>
      <family val="1"/>
    </font>
    <font>
      <b/>
      <sz val="12"/>
      <color theme="1"/>
      <name val="Bookman Old Style"/>
      <family val="1"/>
    </font>
    <font>
      <b/>
      <sz val="8"/>
      <name val="Bookman Old Style"/>
      <family val="1"/>
    </font>
    <font>
      <b/>
      <sz val="8"/>
      <color rgb="FFFF0000"/>
      <name val="Bookman Old Style"/>
      <family val="1"/>
    </font>
    <font>
      <b/>
      <sz val="16"/>
      <name val="Arial Black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D3FED0"/>
        <bgColor indexed="64"/>
      </patternFill>
    </fill>
    <fill>
      <patternFill patternType="solid">
        <fgColor theme="3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164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2" fillId="0" borderId="0"/>
    <xf numFmtId="0" fontId="13" fillId="0" borderId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4" fillId="0" borderId="2" applyFont="0" applyBorder="0">
      <alignment vertical="top" wrapText="1"/>
    </xf>
    <xf numFmtId="0" fontId="10" fillId="0" borderId="0"/>
    <xf numFmtId="164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9" fillId="0" borderId="0"/>
    <xf numFmtId="0" fontId="15" fillId="3" borderId="0" applyNumberFormat="0" applyBorder="0" applyAlignment="0" applyProtection="0"/>
    <xf numFmtId="164" fontId="16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165" fontId="5" fillId="0" borderId="0" applyFont="0" applyFill="0" applyBorder="0" applyAlignment="0" applyProtection="0"/>
    <xf numFmtId="0" fontId="11" fillId="0" borderId="0"/>
    <xf numFmtId="0" fontId="4" fillId="0" borderId="0"/>
    <xf numFmtId="0" fontId="3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100">
    <xf numFmtId="0" fontId="0" fillId="0" borderId="0" xfId="0"/>
    <xf numFmtId="0" fontId="1" fillId="0" borderId="0" xfId="32" applyProtection="1">
      <protection locked="0"/>
    </xf>
    <xf numFmtId="0" fontId="1" fillId="2" borderId="0" xfId="32" applyFill="1" applyProtection="1">
      <protection locked="0"/>
    </xf>
    <xf numFmtId="0" fontId="21" fillId="2" borderId="0" xfId="32" applyFont="1" applyFill="1" applyAlignment="1" applyProtection="1">
      <alignment horizontal="center" vertical="center" wrapText="1"/>
      <protection locked="0"/>
    </xf>
    <xf numFmtId="0" fontId="22" fillId="2" borderId="0" xfId="32" applyFont="1" applyFill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wrapText="1"/>
      <protection locked="0"/>
    </xf>
    <xf numFmtId="0" fontId="29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/>
      <protection locked="0"/>
    </xf>
    <xf numFmtId="0" fontId="25" fillId="0" borderId="0" xfId="0" applyFont="1" applyProtection="1">
      <protection locked="0"/>
    </xf>
    <xf numFmtId="0" fontId="20" fillId="5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4" fontId="26" fillId="6" borderId="4" xfId="0" applyNumberFormat="1" applyFont="1" applyFill="1" applyBorder="1" applyAlignment="1">
      <alignment horizontal="center" vertical="center"/>
    </xf>
    <xf numFmtId="49" fontId="18" fillId="2" borderId="10" xfId="32" applyNumberFormat="1" applyFont="1" applyFill="1" applyBorder="1"/>
    <xf numFmtId="4" fontId="17" fillId="2" borderId="0" xfId="32" applyNumberFormat="1" applyFont="1" applyFill="1" applyProtection="1">
      <protection locked="0"/>
    </xf>
    <xf numFmtId="0" fontId="21" fillId="0" borderId="0" xfId="32" applyFont="1" applyProtection="1">
      <protection locked="0"/>
    </xf>
    <xf numFmtId="0" fontId="21" fillId="2" borderId="0" xfId="32" applyFont="1" applyFill="1" applyProtection="1">
      <protection locked="0"/>
    </xf>
    <xf numFmtId="39" fontId="23" fillId="2" borderId="0" xfId="33" applyNumberFormat="1" applyFont="1" applyFill="1" applyBorder="1" applyProtection="1">
      <protection locked="0"/>
    </xf>
    <xf numFmtId="166" fontId="18" fillId="2" borderId="9" xfId="26" applyNumberFormat="1" applyFont="1" applyFill="1" applyBorder="1" applyAlignment="1">
      <alignment horizontal="left"/>
    </xf>
    <xf numFmtId="166" fontId="18" fillId="2" borderId="10" xfId="26" applyNumberFormat="1" applyFont="1" applyFill="1" applyBorder="1" applyAlignment="1">
      <alignment horizontal="left"/>
    </xf>
    <xf numFmtId="3" fontId="18" fillId="2" borderId="10" xfId="26" applyNumberFormat="1" applyFont="1" applyFill="1" applyBorder="1" applyAlignment="1">
      <alignment horizontal="left"/>
    </xf>
    <xf numFmtId="166" fontId="18" fillId="2" borderId="13" xfId="26" applyNumberFormat="1" applyFont="1" applyFill="1" applyBorder="1" applyAlignment="1">
      <alignment horizontal="left"/>
    </xf>
    <xf numFmtId="0" fontId="32" fillId="0" borderId="0" xfId="32" applyFont="1" applyProtection="1">
      <protection locked="0"/>
    </xf>
    <xf numFmtId="0" fontId="34" fillId="0" borderId="0" xfId="0" applyFont="1" applyAlignment="1" applyProtection="1">
      <alignment horizontal="center"/>
      <protection locked="0"/>
    </xf>
    <xf numFmtId="49" fontId="34" fillId="0" borderId="0" xfId="0" applyNumberFormat="1" applyFont="1" applyAlignment="1" applyProtection="1">
      <alignment horizontal="center"/>
      <protection locked="0"/>
    </xf>
    <xf numFmtId="49" fontId="0" fillId="7" borderId="0" xfId="0" applyNumberFormat="1" applyFill="1" applyProtection="1">
      <protection locked="0"/>
    </xf>
    <xf numFmtId="0" fontId="0" fillId="7" borderId="0" xfId="0" applyFill="1" applyProtection="1">
      <protection locked="0"/>
    </xf>
    <xf numFmtId="0" fontId="28" fillId="7" borderId="0" xfId="0" applyFont="1" applyFill="1" applyAlignment="1" applyProtection="1">
      <alignment horizontal="center"/>
      <protection locked="0"/>
    </xf>
    <xf numFmtId="0" fontId="19" fillId="7" borderId="0" xfId="5" applyFont="1" applyFill="1" applyAlignment="1" applyProtection="1">
      <alignment horizontal="center" vertical="center" wrapText="1"/>
      <protection locked="0"/>
    </xf>
    <xf numFmtId="4" fontId="26" fillId="7" borderId="0" xfId="0" applyNumberFormat="1" applyFon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0" fontId="20" fillId="9" borderId="3" xfId="0" applyFont="1" applyFill="1" applyBorder="1" applyAlignment="1" applyProtection="1">
      <alignment horizontal="center" vertical="center" wrapText="1"/>
      <protection locked="0"/>
    </xf>
    <xf numFmtId="0" fontId="35" fillId="9" borderId="1" xfId="0" applyFont="1" applyFill="1" applyBorder="1" applyAlignment="1" applyProtection="1">
      <alignment horizontal="center"/>
      <protection locked="0"/>
    </xf>
    <xf numFmtId="0" fontId="24" fillId="9" borderId="1" xfId="0" applyFont="1" applyFill="1" applyBorder="1" applyAlignment="1" applyProtection="1">
      <alignment horizontal="left" vertical="center" wrapText="1"/>
      <protection locked="0"/>
    </xf>
    <xf numFmtId="0" fontId="24" fillId="9" borderId="1" xfId="0" applyFont="1" applyFill="1" applyBorder="1" applyAlignment="1" applyProtection="1">
      <alignment horizontal="center"/>
      <protection locked="0"/>
    </xf>
    <xf numFmtId="0" fontId="31" fillId="9" borderId="1" xfId="0" applyFont="1" applyFill="1" applyBorder="1" applyAlignment="1" applyProtection="1">
      <alignment horizontal="center" vertical="center" wrapText="1"/>
      <protection locked="0"/>
    </xf>
    <xf numFmtId="4" fontId="39" fillId="8" borderId="6" xfId="32" applyNumberFormat="1" applyFont="1" applyFill="1" applyBorder="1"/>
    <xf numFmtId="49" fontId="40" fillId="9" borderId="7" xfId="26" applyNumberFormat="1" applyFont="1" applyFill="1" applyBorder="1" applyAlignment="1">
      <alignment horizontal="center"/>
    </xf>
    <xf numFmtId="37" fontId="41" fillId="9" borderId="7" xfId="26" applyNumberFormat="1" applyFont="1" applyFill="1" applyBorder="1" applyAlignment="1">
      <alignment horizontal="left"/>
    </xf>
    <xf numFmtId="37" fontId="41" fillId="9" borderId="8" xfId="26" applyNumberFormat="1" applyFont="1" applyFill="1" applyBorder="1" applyAlignment="1">
      <alignment horizontal="left" vertical="center"/>
    </xf>
    <xf numFmtId="1" fontId="40" fillId="9" borderId="7" xfId="26" applyNumberFormat="1" applyFont="1" applyFill="1" applyBorder="1" applyAlignment="1">
      <alignment horizontal="center"/>
    </xf>
    <xf numFmtId="166" fontId="40" fillId="9" borderId="8" xfId="26" applyNumberFormat="1" applyFont="1" applyFill="1" applyBorder="1" applyAlignment="1">
      <alignment horizontal="left"/>
    </xf>
    <xf numFmtId="1" fontId="41" fillId="9" borderId="7" xfId="26" applyNumberFormat="1" applyFont="1" applyFill="1" applyBorder="1" applyAlignment="1">
      <alignment horizontal="center"/>
    </xf>
    <xf numFmtId="166" fontId="41" fillId="9" borderId="7" xfId="26" applyNumberFormat="1" applyFont="1" applyFill="1" applyBorder="1" applyAlignment="1">
      <alignment horizontal="left"/>
    </xf>
    <xf numFmtId="166" fontId="41" fillId="9" borderId="8" xfId="26" applyNumberFormat="1" applyFont="1" applyFill="1" applyBorder="1" applyAlignment="1">
      <alignment horizontal="left"/>
    </xf>
    <xf numFmtId="166" fontId="48" fillId="2" borderId="11" xfId="26" applyNumberFormat="1" applyFont="1" applyFill="1" applyBorder="1" applyAlignment="1">
      <alignment horizontal="left"/>
    </xf>
    <xf numFmtId="166" fontId="48" fillId="2" borderId="12" xfId="26" applyNumberFormat="1" applyFont="1" applyFill="1" applyBorder="1" applyAlignment="1">
      <alignment horizontal="left"/>
    </xf>
    <xf numFmtId="49" fontId="48" fillId="2" borderId="12" xfId="32" applyNumberFormat="1" applyFont="1" applyFill="1" applyBorder="1"/>
    <xf numFmtId="166" fontId="49" fillId="2" borderId="11" xfId="26" applyNumberFormat="1" applyFont="1" applyFill="1" applyBorder="1" applyAlignment="1">
      <alignment horizontal="left"/>
    </xf>
    <xf numFmtId="166" fontId="49" fillId="2" borderId="12" xfId="26" applyNumberFormat="1" applyFont="1" applyFill="1" applyBorder="1" applyAlignment="1">
      <alignment horizontal="left"/>
    </xf>
    <xf numFmtId="166" fontId="50" fillId="2" borderId="11" xfId="26" applyNumberFormat="1" applyFont="1" applyFill="1" applyBorder="1" applyAlignment="1">
      <alignment horizontal="left"/>
    </xf>
    <xf numFmtId="1" fontId="44" fillId="2" borderId="9" xfId="26" applyNumberFormat="1" applyFont="1" applyFill="1" applyBorder="1" applyAlignment="1">
      <alignment horizontal="center"/>
    </xf>
    <xf numFmtId="1" fontId="44" fillId="2" borderId="10" xfId="26" applyNumberFormat="1" applyFont="1" applyFill="1" applyBorder="1" applyAlignment="1">
      <alignment horizontal="center"/>
    </xf>
    <xf numFmtId="3" fontId="48" fillId="2" borderId="12" xfId="26" applyNumberFormat="1" applyFont="1" applyFill="1" applyBorder="1" applyAlignment="1">
      <alignment horizontal="left"/>
    </xf>
    <xf numFmtId="1" fontId="44" fillId="2" borderId="13" xfId="26" applyNumberFormat="1" applyFont="1" applyFill="1" applyBorder="1" applyAlignment="1">
      <alignment horizontal="center"/>
    </xf>
    <xf numFmtId="166" fontId="48" fillId="2" borderId="14" xfId="26" applyNumberFormat="1" applyFont="1" applyFill="1" applyBorder="1" applyAlignment="1">
      <alignment horizontal="left"/>
    </xf>
    <xf numFmtId="39" fontId="40" fillId="9" borderId="7" xfId="32" applyNumberFormat="1" applyFont="1" applyFill="1" applyBorder="1"/>
    <xf numFmtId="39" fontId="44" fillId="0" borderId="9" xfId="32" applyNumberFormat="1" applyFont="1" applyBorder="1" applyAlignment="1">
      <alignment horizontal="right"/>
    </xf>
    <xf numFmtId="39" fontId="44" fillId="0" borderId="10" xfId="32" applyNumberFormat="1" applyFont="1" applyBorder="1" applyAlignment="1">
      <alignment horizontal="right"/>
    </xf>
    <xf numFmtId="39" fontId="44" fillId="0" borderId="13" xfId="32" applyNumberFormat="1" applyFont="1" applyBorder="1" applyAlignment="1">
      <alignment horizontal="right"/>
    </xf>
    <xf numFmtId="39" fontId="42" fillId="10" borderId="23" xfId="33" applyNumberFormat="1" applyFont="1" applyFill="1" applyBorder="1" applyAlignment="1" applyProtection="1">
      <alignment vertical="center"/>
    </xf>
    <xf numFmtId="0" fontId="28" fillId="0" borderId="0" xfId="0" applyFont="1" applyProtection="1"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vertical="center"/>
      <protection locked="0"/>
    </xf>
    <xf numFmtId="0" fontId="33" fillId="7" borderId="0" xfId="0" applyFont="1" applyFill="1" applyAlignment="1" applyProtection="1">
      <alignment horizontal="center" vertical="center"/>
      <protection locked="0"/>
    </xf>
    <xf numFmtId="0" fontId="37" fillId="8" borderId="1" xfId="5" applyFont="1" applyFill="1" applyBorder="1" applyAlignment="1" applyProtection="1">
      <alignment horizontal="center" vertical="center" wrapText="1"/>
      <protection locked="0"/>
    </xf>
    <xf numFmtId="0" fontId="28" fillId="0" borderId="0" xfId="0" applyFont="1" applyAlignment="1" applyProtection="1">
      <alignment horizontal="center"/>
      <protection locked="0"/>
    </xf>
    <xf numFmtId="0" fontId="52" fillId="0" borderId="0" xfId="0" applyFont="1" applyAlignment="1" applyProtection="1">
      <alignment horizontal="left"/>
      <protection locked="0"/>
    </xf>
    <xf numFmtId="49" fontId="52" fillId="0" borderId="0" xfId="0" applyNumberFormat="1" applyFont="1" applyAlignment="1" applyProtection="1">
      <alignment horizontal="left"/>
      <protection locked="0"/>
    </xf>
    <xf numFmtId="0" fontId="30" fillId="0" borderId="0" xfId="0" applyFont="1" applyAlignment="1" applyProtection="1">
      <alignment wrapText="1"/>
      <protection locked="0"/>
    </xf>
    <xf numFmtId="0" fontId="52" fillId="0" borderId="0" xfId="0" applyFont="1" applyAlignment="1" applyProtection="1">
      <alignment horizontal="left" vertical="center"/>
      <protection locked="0"/>
    </xf>
    <xf numFmtId="39" fontId="43" fillId="10" borderId="15" xfId="33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37" fillId="8" borderId="1" xfId="5" applyFont="1" applyFill="1" applyBorder="1" applyAlignment="1" applyProtection="1">
      <alignment horizontal="center" vertical="center" textRotation="90" wrapText="1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45" fillId="4" borderId="1" xfId="0" applyFont="1" applyFill="1" applyBorder="1" applyAlignment="1">
      <alignment horizontal="right" vertical="center"/>
    </xf>
    <xf numFmtId="0" fontId="24" fillId="9" borderId="1" xfId="0" applyFont="1" applyFill="1" applyBorder="1" applyAlignment="1" applyProtection="1">
      <alignment horizontal="center" vertical="center"/>
      <protection locked="0"/>
    </xf>
    <xf numFmtId="0" fontId="24" fillId="9" borderId="3" xfId="0" applyFont="1" applyFill="1" applyBorder="1" applyAlignment="1" applyProtection="1">
      <alignment horizontal="center" vertical="center"/>
      <protection locked="0"/>
    </xf>
    <xf numFmtId="0" fontId="11" fillId="9" borderId="1" xfId="0" applyFont="1" applyFill="1" applyBorder="1" applyAlignment="1" applyProtection="1">
      <alignment horizontal="center" vertical="center"/>
      <protection locked="0"/>
    </xf>
    <xf numFmtId="0" fontId="24" fillId="0" borderId="0" xfId="0" applyFont="1" applyProtection="1">
      <protection locked="0"/>
    </xf>
    <xf numFmtId="0" fontId="44" fillId="6" borderId="3" xfId="0" applyFont="1" applyFill="1" applyBorder="1" applyAlignment="1">
      <alignment horizontal="right" vertical="center"/>
    </xf>
    <xf numFmtId="49" fontId="37" fillId="8" borderId="1" xfId="5" applyNumberFormat="1" applyFont="1" applyFill="1" applyBorder="1" applyAlignment="1" applyProtection="1">
      <alignment horizontal="center" vertical="center" wrapText="1"/>
      <protection locked="0"/>
    </xf>
    <xf numFmtId="0" fontId="37" fillId="8" borderId="3" xfId="5" applyFont="1" applyFill="1" applyBorder="1" applyAlignment="1" applyProtection="1">
      <alignment horizontal="center" vertical="center" wrapText="1"/>
      <protection locked="0"/>
    </xf>
    <xf numFmtId="0" fontId="37" fillId="8" borderId="24" xfId="5" applyFont="1" applyFill="1" applyBorder="1" applyAlignment="1" applyProtection="1">
      <alignment horizontal="center" vertical="center" wrapText="1"/>
      <protection locked="0"/>
    </xf>
    <xf numFmtId="0" fontId="37" fillId="8" borderId="4" xfId="5" applyFont="1" applyFill="1" applyBorder="1" applyAlignment="1" applyProtection="1">
      <alignment horizontal="center" vertical="center" wrapText="1"/>
      <protection locked="0"/>
    </xf>
    <xf numFmtId="49" fontId="37" fillId="8" borderId="21" xfId="5" applyNumberFormat="1" applyFont="1" applyFill="1" applyBorder="1" applyAlignment="1" applyProtection="1">
      <alignment horizontal="center" vertical="center" wrapText="1"/>
      <protection locked="0"/>
    </xf>
    <xf numFmtId="49" fontId="37" fillId="8" borderId="22" xfId="5" applyNumberFormat="1" applyFont="1" applyFill="1" applyBorder="1" applyAlignment="1" applyProtection="1">
      <alignment horizontal="center" vertical="center" wrapText="1"/>
      <protection locked="0"/>
    </xf>
    <xf numFmtId="0" fontId="46" fillId="0" borderId="0" xfId="0" applyFont="1" applyAlignment="1" applyProtection="1">
      <alignment horizontal="center" vertical="center"/>
      <protection locked="0"/>
    </xf>
    <xf numFmtId="0" fontId="54" fillId="0" borderId="0" xfId="0" applyFont="1" applyAlignment="1" applyProtection="1">
      <alignment horizontal="center" vertical="center"/>
      <protection locked="0"/>
    </xf>
    <xf numFmtId="0" fontId="51" fillId="2" borderId="5" xfId="32" applyFont="1" applyFill="1" applyBorder="1" applyAlignment="1" applyProtection="1">
      <alignment horizontal="center" vertical="center"/>
      <protection locked="0"/>
    </xf>
    <xf numFmtId="0" fontId="47" fillId="2" borderId="5" xfId="32" applyFont="1" applyFill="1" applyBorder="1" applyAlignment="1" applyProtection="1">
      <alignment horizontal="center" vertical="center"/>
      <protection locked="0"/>
    </xf>
    <xf numFmtId="49" fontId="38" fillId="10" borderId="18" xfId="32" applyNumberFormat="1" applyFont="1" applyFill="1" applyBorder="1" applyAlignment="1">
      <alignment horizontal="center" vertical="center" wrapText="1"/>
    </xf>
    <xf numFmtId="49" fontId="38" fillId="10" borderId="19" xfId="32" applyNumberFormat="1" applyFont="1" applyFill="1" applyBorder="1" applyAlignment="1">
      <alignment horizontal="center" vertical="center" wrapText="1"/>
    </xf>
    <xf numFmtId="49" fontId="38" fillId="10" borderId="20" xfId="32" applyNumberFormat="1" applyFont="1" applyFill="1" applyBorder="1" applyAlignment="1">
      <alignment horizontal="center" vertical="center" wrapText="1"/>
    </xf>
    <xf numFmtId="0" fontId="39" fillId="8" borderId="16" xfId="32" applyFont="1" applyFill="1" applyBorder="1" applyAlignment="1">
      <alignment horizontal="center" vertical="center" wrapText="1"/>
    </xf>
    <xf numFmtId="0" fontId="39" fillId="8" borderId="2" xfId="32" applyFont="1" applyFill="1" applyBorder="1" applyAlignment="1">
      <alignment horizontal="center" vertical="center" wrapText="1"/>
    </xf>
    <xf numFmtId="0" fontId="39" fillId="8" borderId="17" xfId="32" applyFont="1" applyFill="1" applyBorder="1" applyAlignment="1">
      <alignment horizontal="center" vertical="center" wrapText="1"/>
    </xf>
    <xf numFmtId="39" fontId="43" fillId="10" borderId="15" xfId="33" applyNumberFormat="1" applyFont="1" applyFill="1" applyBorder="1" applyAlignment="1" applyProtection="1">
      <alignment horizontal="center" vertical="center"/>
    </xf>
  </cellXfs>
  <cellStyles count="34">
    <cellStyle name="Énfasis1 2" xfId="19" xr:uid="{00000000-0005-0000-0000-000000000000}"/>
    <cellStyle name="Millares 2" xfId="1" xr:uid="{00000000-0005-0000-0000-000001000000}"/>
    <cellStyle name="Millares 2 2" xfId="16" xr:uid="{00000000-0005-0000-0000-000002000000}"/>
    <cellStyle name="Millares 3" xfId="2" xr:uid="{00000000-0005-0000-0000-000003000000}"/>
    <cellStyle name="Millares 3 2" xfId="17" xr:uid="{00000000-0005-0000-0000-000004000000}"/>
    <cellStyle name="Millares 3 3" xfId="33" xr:uid="{00000000-0005-0000-0000-000005000000}"/>
    <cellStyle name="Millares 4" xfId="15" xr:uid="{00000000-0005-0000-0000-000006000000}"/>
    <cellStyle name="Millares 5" xfId="20" xr:uid="{00000000-0005-0000-0000-000007000000}"/>
    <cellStyle name="Millares 6" xfId="25" xr:uid="{00000000-0005-0000-0000-000008000000}"/>
    <cellStyle name="Millares 6 2" xfId="31" xr:uid="{00000000-0005-0000-0000-000009000000}"/>
    <cellStyle name="Normal" xfId="0" builtinId="0"/>
    <cellStyle name="Normal 10" xfId="21" xr:uid="{00000000-0005-0000-0000-00000B000000}"/>
    <cellStyle name="Normal 11" xfId="22" xr:uid="{00000000-0005-0000-0000-00000C000000}"/>
    <cellStyle name="Normal 12" xfId="24" xr:uid="{00000000-0005-0000-0000-00000D000000}"/>
    <cellStyle name="Normal 13" xfId="32" xr:uid="{00000000-0005-0000-0000-00000E000000}"/>
    <cellStyle name="Normal 2" xfId="3" xr:uid="{00000000-0005-0000-0000-00000F000000}"/>
    <cellStyle name="Normal 2 2" xfId="4" xr:uid="{00000000-0005-0000-0000-000010000000}"/>
    <cellStyle name="Normal 2 2 2" xfId="26" xr:uid="{00000000-0005-0000-0000-000011000000}"/>
    <cellStyle name="Normal 2 3" xfId="5" xr:uid="{00000000-0005-0000-0000-000012000000}"/>
    <cellStyle name="Normal 2_F7" xfId="6" xr:uid="{00000000-0005-0000-0000-000013000000}"/>
    <cellStyle name="Normal 3" xfId="7" xr:uid="{00000000-0005-0000-0000-000014000000}"/>
    <cellStyle name="Normal 4" xfId="8" xr:uid="{00000000-0005-0000-0000-000015000000}"/>
    <cellStyle name="Normal 5" xfId="9" xr:uid="{00000000-0005-0000-0000-000016000000}"/>
    <cellStyle name="Normal 6" xfId="10" xr:uid="{00000000-0005-0000-0000-000017000000}"/>
    <cellStyle name="Normal 7" xfId="11" xr:uid="{00000000-0005-0000-0000-000018000000}"/>
    <cellStyle name="Normal 8" xfId="14" xr:uid="{00000000-0005-0000-0000-000019000000}"/>
    <cellStyle name="Normal 9" xfId="18" xr:uid="{00000000-0005-0000-0000-00001A000000}"/>
    <cellStyle name="Normal 9 2" xfId="23" xr:uid="{00000000-0005-0000-0000-00001B000000}"/>
    <cellStyle name="Normal 9 3" xfId="28" xr:uid="{00000000-0005-0000-0000-00001C000000}"/>
    <cellStyle name="Normal 9 4" xfId="27" xr:uid="{00000000-0005-0000-0000-00001D000000}"/>
    <cellStyle name="Normal 9 4 2" xfId="30" xr:uid="{00000000-0005-0000-0000-00001E000000}"/>
    <cellStyle name="Normal 9 5" xfId="29" xr:uid="{00000000-0005-0000-0000-00001F000000}"/>
    <cellStyle name="Porcentual 2" xfId="12" xr:uid="{00000000-0005-0000-0000-000020000000}"/>
    <cellStyle name="texto" xfId="13" xr:uid="{00000000-0005-0000-0000-000021000000}"/>
  </cellStyles>
  <dxfs count="6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9" defaultPivotStyle="PivotStyleLight16"/>
  <colors>
    <mruColors>
      <color rgb="FFD3FE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66695</xdr:colOff>
      <xdr:row>0</xdr:row>
      <xdr:rowOff>173500</xdr:rowOff>
    </xdr:from>
    <xdr:to>
      <xdr:col>2</xdr:col>
      <xdr:colOff>534112</xdr:colOff>
      <xdr:row>3</xdr:row>
      <xdr:rowOff>131413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714" y="173500"/>
          <a:ext cx="716669" cy="803591"/>
        </a:xfrm>
        <a:prstGeom prst="rect">
          <a:avLst/>
        </a:prstGeom>
      </xdr:spPr>
    </xdr:pic>
    <xdr:clientData/>
  </xdr:twoCellAnchor>
  <xdr:twoCellAnchor>
    <xdr:from>
      <xdr:col>1</xdr:col>
      <xdr:colOff>53373</xdr:colOff>
      <xdr:row>0</xdr:row>
      <xdr:rowOff>73679</xdr:rowOff>
    </xdr:from>
    <xdr:to>
      <xdr:col>24</xdr:col>
      <xdr:colOff>0</xdr:colOff>
      <xdr:row>0</xdr:row>
      <xdr:rowOff>101202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85123" y="153054"/>
          <a:ext cx="14572265" cy="27523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25893</xdr:colOff>
      <xdr:row>7</xdr:row>
      <xdr:rowOff>81457</xdr:rowOff>
    </xdr:from>
    <xdr:to>
      <xdr:col>24</xdr:col>
      <xdr:colOff>8902</xdr:colOff>
      <xdr:row>7</xdr:row>
      <xdr:rowOff>89018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14912" y="1594775"/>
          <a:ext cx="15935158" cy="7561"/>
        </a:xfrm>
        <a:prstGeom prst="line">
          <a:avLst/>
        </a:prstGeom>
        <a:ln/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507229</xdr:colOff>
      <xdr:row>2</xdr:row>
      <xdr:rowOff>183613</xdr:rowOff>
    </xdr:from>
    <xdr:to>
      <xdr:col>23</xdr:col>
      <xdr:colOff>804907</xdr:colOff>
      <xdr:row>4</xdr:row>
      <xdr:rowOff>130858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 flipH="1">
          <a:off x="13833327" y="673216"/>
          <a:ext cx="1997935" cy="4902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100" b="1">
              <a:latin typeface="Bookman Old Style" panose="02050604050505020204" pitchFamily="18" charset="0"/>
            </a:rPr>
            <a:t>FORM_POA_N°5 / 2026</a:t>
          </a:r>
        </a:p>
        <a:p>
          <a:pPr algn="ctr"/>
          <a:r>
            <a:rPr lang="es-BO" sz="1100" b="1">
              <a:latin typeface="Bookman Old Style" panose="02050604050505020204" pitchFamily="18" charset="0"/>
            </a:rPr>
            <a:t>REQUERIMIENTOS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ORM%20POA%202012\FORMULARIOS%20MC%20POA%202012%20V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S"/>
      <sheetName val="POA_PPTO"/>
      <sheetName val="Hoja1"/>
      <sheetName val="Hoja2"/>
      <sheetName val="F-1 (2)"/>
      <sheetName val="F-1"/>
      <sheetName val="F-1A"/>
      <sheetName val="F-2"/>
      <sheetName val="F-3"/>
      <sheetName val="INSUMOS ACTIVOS"/>
      <sheetName val="PPTO"/>
      <sheetName val="foda"/>
      <sheetName val="Hoja4"/>
      <sheetName val="F-3 (1)"/>
      <sheetName val="F-3 (2)"/>
      <sheetName val="F-3 (3)"/>
      <sheetName val="F-3 (4)"/>
      <sheetName val="F-3 (5)"/>
      <sheetName val="F-3 (6)"/>
      <sheetName val="F-3 (7)"/>
      <sheetName val="F-3 (8)"/>
      <sheetName val="F-3 (9)"/>
      <sheetName val="F-3 (10)"/>
      <sheetName val="F-3 (11)"/>
      <sheetName val="F-3 (12)"/>
      <sheetName val="F-3 (13)"/>
      <sheetName val="F-3 (14)"/>
      <sheetName val="F-3 (15)"/>
      <sheetName val="F-3 (16)"/>
      <sheetName val="F-3 (17)"/>
      <sheetName val="F-3 (18)"/>
      <sheetName val="F-3 (19)"/>
      <sheetName val="F-3 (20)"/>
      <sheetName val="F-3 (21)"/>
      <sheetName val="F-3 (22)"/>
      <sheetName val="F-3 (23)"/>
      <sheetName val="F-3 (24)"/>
      <sheetName val="F-3 (25)"/>
      <sheetName val="F-3 (26)"/>
      <sheetName val="F-3 (27)"/>
      <sheetName val="F-3 (28)"/>
      <sheetName val="F-3 (29)"/>
      <sheetName val="F-3 (30)"/>
      <sheetName val="F-3 (31)"/>
      <sheetName val="F-3 (32)"/>
      <sheetName val="F-3 (33)"/>
      <sheetName val="F-3 (34)"/>
      <sheetName val="F-3 (35)"/>
      <sheetName val="F-3 (36)"/>
      <sheetName val="F-3 (37)"/>
    </sheetNames>
    <sheetDataSet>
      <sheetData sheetId="0" refreshError="1">
        <row r="2">
          <cell r="P2">
            <v>21100</v>
          </cell>
          <cell r="Q2" t="str">
            <v>Comunicaciones</v>
          </cell>
          <cell r="Y2" t="str">
            <v>001.01.01</v>
          </cell>
          <cell r="Z2" t="str">
            <v>Desarrollar competencias en proceso de eval., plani. Estratégica y acreditación.</v>
          </cell>
        </row>
        <row r="3">
          <cell r="P3">
            <v>21200</v>
          </cell>
          <cell r="Q3" t="str">
            <v>Energía eléctrica</v>
          </cell>
          <cell r="Y3" t="str">
            <v>001.02.02</v>
          </cell>
          <cell r="Z3" t="str">
            <v>Autoevaluar carreras a nivel de licenciatura y técnico superior.</v>
          </cell>
        </row>
        <row r="4">
          <cell r="P4">
            <v>21300</v>
          </cell>
          <cell r="Q4" t="str">
            <v>Agua</v>
          </cell>
          <cell r="Y4" t="str">
            <v>001.02.03</v>
          </cell>
          <cell r="Z4" t="str">
            <v>Elaborar los planes estratégicos de todas las fac. y carr.</v>
          </cell>
        </row>
        <row r="5">
          <cell r="P5">
            <v>21400</v>
          </cell>
          <cell r="Q5" t="str">
            <v>Servicios telefónicos</v>
          </cell>
          <cell r="Y5" t="str">
            <v>001.02.04</v>
          </cell>
          <cell r="Z5" t="str">
            <v>Evaluar carreras por pares internos y externos.</v>
          </cell>
        </row>
        <row r="6">
          <cell r="P6">
            <v>21500</v>
          </cell>
          <cell r="Q6" t="str">
            <v>Gas domiciliario</v>
          </cell>
          <cell r="Y6" t="str">
            <v>001.02.05</v>
          </cell>
          <cell r="Z6" t="str">
            <v>Acreditar carreras a nivel licenciatura.</v>
          </cell>
        </row>
        <row r="7">
          <cell r="P7">
            <v>21600</v>
          </cell>
          <cell r="Q7" t="str">
            <v>Servicios de Internet y otros</v>
          </cell>
          <cell r="Y7" t="str">
            <v>001.04.06</v>
          </cell>
          <cell r="Z7" t="str">
            <v>Diseño e implantación de un sistema de asignación de recursos destinados a infraestructura, equip. y serv.</v>
          </cell>
        </row>
        <row r="8">
          <cell r="P8">
            <v>22110</v>
          </cell>
          <cell r="Q8" t="str">
            <v>Pasajes al interior del país</v>
          </cell>
          <cell r="Y8" t="str">
            <v>001.04.07</v>
          </cell>
          <cell r="Z8" t="str">
            <v>Mejorar la infraestructura y el equip. de lab., talleres, bibliotecas y dependencias de apoyo acad.</v>
          </cell>
        </row>
        <row r="9">
          <cell r="P9">
            <v>22120</v>
          </cell>
          <cell r="Q9" t="str">
            <v>Pasajes al exterior del país</v>
          </cell>
          <cell r="Y9" t="str">
            <v>001.05.08</v>
          </cell>
          <cell r="Z9" t="str">
            <v>Adoptar el modelo de diseño curricular por compent. en los nuevos prog. de formación en el pregrado, que conlleve a la certif. de los prefiles prof.</v>
          </cell>
        </row>
        <row r="10">
          <cell r="P10">
            <v>22210</v>
          </cell>
          <cell r="Q10" t="str">
            <v>Viáticos por viajes al interior del país</v>
          </cell>
          <cell r="Y10" t="str">
            <v>001.06.09</v>
          </cell>
          <cell r="Z10" t="str">
            <v>Incorporar nuevas formas de titilación directa en base a la certificación de competencias prof..</v>
          </cell>
        </row>
        <row r="11">
          <cell r="P11">
            <v>22220</v>
          </cell>
          <cell r="Q11" t="str">
            <v>Viáticos por viajes al exterior del país</v>
          </cell>
          <cell r="Y11" t="str">
            <v>001.07.10</v>
          </cell>
          <cell r="Z11" t="str">
            <v>Capac. y formación de directivos y doc. en los procesos de mej.  del proceso enseñanza-aprendizaje de la gestión univ..</v>
          </cell>
        </row>
        <row r="12">
          <cell r="P12">
            <v>22300</v>
          </cell>
          <cell r="Q12" t="str">
            <v>Fletes y almacenamiento</v>
          </cell>
          <cell r="Y12" t="str">
            <v>001.07.11</v>
          </cell>
          <cell r="Z12" t="str">
            <v>Mejorar el desempeño de las actividades acad. de las carreras.</v>
          </cell>
        </row>
        <row r="13">
          <cell r="P13">
            <v>22400</v>
          </cell>
          <cell r="Q13" t="str">
            <v>Gastos de instalación y retorno</v>
          </cell>
          <cell r="Y13" t="str">
            <v>001.07.12</v>
          </cell>
          <cell r="Z13" t="str">
            <v>Desarrollar programas de mejoramiento de la calidad y rendimiento acad.</v>
          </cell>
        </row>
        <row r="14">
          <cell r="P14">
            <v>22500</v>
          </cell>
          <cell r="Q14" t="str">
            <v>Seguros</v>
          </cell>
          <cell r="Y14" t="str">
            <v>001.08.13</v>
          </cell>
          <cell r="Z14" t="str">
            <v>Propiciar el diseño y la implantación de programas   de apoyo y reconocimiento al desempeño académico de los est.</v>
          </cell>
        </row>
        <row r="15">
          <cell r="P15">
            <v>22600</v>
          </cell>
          <cell r="Q15" t="str">
            <v>Transporte de personal</v>
          </cell>
          <cell r="Y15" t="str">
            <v>001.09.14</v>
          </cell>
          <cell r="Z15" t="str">
            <v>Diseño e implantación de prog de seguimiento a graduados y su integración al mundo laboral.</v>
          </cell>
        </row>
        <row r="16">
          <cell r="P16">
            <v>23100</v>
          </cell>
          <cell r="Q16" t="str">
            <v>Alquiler de edificios</v>
          </cell>
          <cell r="Y16" t="str">
            <v>001.10.15</v>
          </cell>
          <cell r="Z16" t="str">
            <v>Propiciar el desarrollo y la ejec. de programas y proy. de integración entre la doc, la investig. y la ext.</v>
          </cell>
        </row>
        <row r="17">
          <cell r="P17">
            <v>23200</v>
          </cell>
          <cell r="Q17" t="str">
            <v>Alquiler de equipos y maquinarias</v>
          </cell>
          <cell r="Y17" t="str">
            <v>001.11.16</v>
          </cell>
          <cell r="Z17" t="str">
            <v>Desarrollar normas sobre el mejor.o continuo de la calidad, aprobada  mediante resolución del ilustre consejo universitario.</v>
          </cell>
        </row>
        <row r="18">
          <cell r="P18">
            <v>23300</v>
          </cell>
          <cell r="Q18" t="str">
            <v>Alquiler de tierras y terrenos</v>
          </cell>
          <cell r="Y18" t="str">
            <v>002.12.01</v>
          </cell>
          <cell r="Z18" t="str">
            <v>Fortalecer las estructuras y el funcionamiento de las direcciones universitarias de investigación y extensión.</v>
          </cell>
        </row>
        <row r="19">
          <cell r="P19">
            <v>23400</v>
          </cell>
          <cell r="Q19" t="str">
            <v>Otros alquileres</v>
          </cell>
          <cell r="Y19" t="str">
            <v>002.13.02</v>
          </cell>
          <cell r="Z19" t="str">
            <v>Desarrollar e implantar un sistema que facilite la calidad de la investigación a nivel de pregrado y postgrado.</v>
          </cell>
        </row>
        <row r="20">
          <cell r="P20">
            <v>24110</v>
          </cell>
          <cell r="Q20" t="str">
            <v>Mantenimiento y reparación de inmuebles</v>
          </cell>
          <cell r="Y20" t="str">
            <v>002.14.03</v>
          </cell>
          <cell r="Z20" t="str">
            <v>Definir líneas institucionales de investigación priorizando temas relevantes y pertinentes a las necesidades regionales y nacionales.</v>
          </cell>
        </row>
        <row r="21">
          <cell r="P21">
            <v>24120</v>
          </cell>
          <cell r="Q21" t="str">
            <v>Mantenimiento y reparación de maquinaria y equipos</v>
          </cell>
          <cell r="Y21" t="str">
            <v>002.15.04</v>
          </cell>
          <cell r="Z21" t="str">
            <v>Concretar convenios para la ejec. de proy. científicos y tecnolog. en interacción con instit. y organismos públicos y privados.</v>
          </cell>
        </row>
        <row r="22">
          <cell r="P22">
            <v>24130</v>
          </cell>
          <cell r="Q22" t="str">
            <v>Mantenimiento y reparación de muebles y enseres</v>
          </cell>
          <cell r="Y22" t="str">
            <v>002.16.05</v>
          </cell>
          <cell r="Z22" t="str">
            <v>Ejecutar proyectos de investig. científica, tecnolog. e innovación en el marco de los planes de  desarrollo y proa. a nivel nacional, departamental y local.</v>
          </cell>
        </row>
        <row r="23">
          <cell r="P23">
            <v>24200</v>
          </cell>
          <cell r="Q23" t="str">
            <v>Mantenimiento y reparación de vías de comunicación</v>
          </cell>
          <cell r="Y23" t="str">
            <v>002.17.06</v>
          </cell>
          <cell r="Z23" t="str">
            <v>Ejecutar programas entre doc.s y estudiantes para desarrollar competencias y trabajos de investig..</v>
          </cell>
        </row>
        <row r="24">
          <cell r="P24">
            <v>24300</v>
          </cell>
          <cell r="Q24" t="str">
            <v>Otros gastos por concepto de instalación, mantenimiento y reparación</v>
          </cell>
          <cell r="Y24" t="str">
            <v>002.18.07</v>
          </cell>
          <cell r="Z24" t="str">
            <v>Diseñar e implantar un programa de motivación para docentes y estudiantes investigadores.</v>
          </cell>
        </row>
        <row r="25">
          <cell r="P25">
            <v>25110</v>
          </cell>
          <cell r="Q25" t="str">
            <v>Gastos del seguro de salud del adulto mayor</v>
          </cell>
          <cell r="Y25" t="str">
            <v>002.19.08</v>
          </cell>
          <cell r="Z25" t="str">
            <v>Ejecutar actividades de difusión de los resultados de las  actividades de investigación universitaria.</v>
          </cell>
        </row>
        <row r="26">
          <cell r="P26">
            <v>25120</v>
          </cell>
          <cell r="Q26" t="str">
            <v>Gastos especializados por atención medica</v>
          </cell>
          <cell r="Y26" t="str">
            <v>002.20.09</v>
          </cell>
          <cell r="Z26" t="str">
            <v>Participar en eventos científicos nacionales que permitan dar a conocer la producción científica e intelectual de la universidad.</v>
          </cell>
        </row>
        <row r="27">
          <cell r="P27">
            <v>25210</v>
          </cell>
          <cell r="Q27" t="str">
            <v>Consultarías por producto</v>
          </cell>
          <cell r="Y27" t="str">
            <v>002.22.10</v>
          </cell>
          <cell r="Z27" t="str">
            <v>Priorizar la asignación de recursos para la ejecución de proyectos de investigación.</v>
          </cell>
        </row>
        <row r="28">
          <cell r="P28">
            <v>25220</v>
          </cell>
          <cell r="Q28" t="str">
            <v>Consultores en línea</v>
          </cell>
          <cell r="Y28" t="str">
            <v>003.24.01</v>
          </cell>
          <cell r="Z28" t="str">
            <v>Desarrollar prog de información univ.  orientada a dar a conocer las actividades e investigaciones desarrollada por nuestra superior casa de estudio.</v>
          </cell>
        </row>
        <row r="29">
          <cell r="P29">
            <v>25230</v>
          </cell>
          <cell r="Q29" t="str">
            <v>Auditorias externas</v>
          </cell>
          <cell r="Y29" t="str">
            <v>003.25.02</v>
          </cell>
          <cell r="Z29" t="str">
            <v>Participar en redes nacionales e internacionales de intercambio y cooperación.</v>
          </cell>
        </row>
        <row r="30">
          <cell r="P30">
            <v>25300</v>
          </cell>
          <cell r="Q30" t="str">
            <v>Comisiones y gastos bancarios</v>
          </cell>
          <cell r="Y30" t="str">
            <v>003.27.03</v>
          </cell>
          <cell r="Z30" t="str">
            <v>Diseñar e implantar programas y proyectos de información al interior de la universidad, que permita la socialización de la información institucional.</v>
          </cell>
        </row>
        <row r="31">
          <cell r="P31">
            <v>25400</v>
          </cell>
          <cell r="Q31" t="str">
            <v>Lavandería, limpieza e higiene</v>
          </cell>
          <cell r="Y31" t="str">
            <v>003.28.04</v>
          </cell>
          <cell r="Z31" t="str">
            <v>Desarrollar programas de interacción social (seminarios, cursos, talleres y otros), dirigidos a poblaciones vulnerables y con altos índices de pobreza.</v>
          </cell>
        </row>
        <row r="32">
          <cell r="P32">
            <v>25500</v>
          </cell>
          <cell r="Q32" t="str">
            <v>Publicidad</v>
          </cell>
          <cell r="Y32" t="str">
            <v>003.29.05</v>
          </cell>
          <cell r="Z32" t="str">
            <v>Preservar el patrimonio cultural y artístico, y promocionar la identidad y los valores de la región en sus diversas expresiones.</v>
          </cell>
        </row>
        <row r="33">
          <cell r="P33">
            <v>25600</v>
          </cell>
          <cell r="Q33" t="str">
            <v>Servicios de imprenta y fotográficos</v>
          </cell>
          <cell r="Y33" t="str">
            <v>004.31.01</v>
          </cell>
          <cell r="Z33" t="str">
            <v>Incrementar y diversificar la formación postgradual que permita la superación continua de los profesionales en general y de los docentes de la universidad en particular.</v>
          </cell>
        </row>
        <row r="34">
          <cell r="P34">
            <v>25700</v>
          </cell>
          <cell r="Q34" t="str">
            <v>Capacitación del personal</v>
          </cell>
          <cell r="Y34" t="str">
            <v>004.33.02</v>
          </cell>
          <cell r="Z34" t="str">
            <v>Ampliar la oferta educativa  en pregrado y postgrado a través de la formación semipresencial.</v>
          </cell>
        </row>
        <row r="35">
          <cell r="P35">
            <v>25810</v>
          </cell>
          <cell r="Q35" t="str">
            <v>Consultarías por producto</v>
          </cell>
          <cell r="Y35" t="str">
            <v>004.34.03</v>
          </cell>
          <cell r="Z35" t="str">
            <v>Ampliar la oferta educativa en pregrado y postgrado a través de la formación a distancia.</v>
          </cell>
        </row>
        <row r="36">
          <cell r="P36">
            <v>25820</v>
          </cell>
          <cell r="Q36" t="str">
            <v>Consultores de línea</v>
          </cell>
          <cell r="Y36" t="str">
            <v>004.35.04</v>
          </cell>
          <cell r="Z36" t="str">
            <v>Ampliar la oferta educativa en pregrado y postgrado a través de la formación digital.</v>
          </cell>
        </row>
        <row r="37">
          <cell r="P37">
            <v>25900</v>
          </cell>
          <cell r="Q37" t="str">
            <v>Servicios manuales</v>
          </cell>
          <cell r="Y37" t="str">
            <v>004.36.05</v>
          </cell>
          <cell r="Z37" t="str">
            <v>Diseñar e implementar un mecanismo de seguimiento y apoyo a la capacitación técnica alternativa (ICAP).</v>
          </cell>
        </row>
        <row r="38">
          <cell r="P38">
            <v>26200</v>
          </cell>
          <cell r="Q38" t="str">
            <v>Gastos judiciales</v>
          </cell>
          <cell r="Y38" t="str">
            <v>004.37.06</v>
          </cell>
          <cell r="Z38" t="str">
            <v>Participar en proyectos de normalización  y certificaron de competencias.</v>
          </cell>
        </row>
        <row r="39">
          <cell r="P39">
            <v>26300</v>
          </cell>
          <cell r="Q39" t="str">
            <v>Derechos sobre bienes intangibles</v>
          </cell>
          <cell r="Y39" t="str">
            <v>004.38.07</v>
          </cell>
          <cell r="Z39" t="str">
            <v>Fortalecer las unidades  académicas  mediante la dotación de infraestructura y equipamiento necesario.</v>
          </cell>
        </row>
        <row r="40">
          <cell r="P40">
            <v>26610</v>
          </cell>
          <cell r="Q40" t="str">
            <v>Servicios públicos</v>
          </cell>
          <cell r="Y40" t="str">
            <v>004.39.08</v>
          </cell>
          <cell r="Z40" t="str">
            <v>Fortalecer la formación técnica superior que contribuya al mejoramiento de la capacidad productiva de todos los sectores.</v>
          </cell>
        </row>
        <row r="41">
          <cell r="P41">
            <v>26620</v>
          </cell>
          <cell r="Q41" t="str">
            <v>Servicios privados</v>
          </cell>
          <cell r="Y41" t="str">
            <v>005.50.07</v>
          </cell>
          <cell r="Z41" t="str">
            <v>Mejorar la infraestructura para los comedores universitarios.</v>
          </cell>
        </row>
        <row r="42">
          <cell r="P42">
            <v>26910</v>
          </cell>
          <cell r="Q42" t="str">
            <v>Gastos de representación</v>
          </cell>
          <cell r="Y42" t="str">
            <v>005.51.08</v>
          </cell>
          <cell r="Z42" t="str">
            <v>Incentivar en el estudiantado la practica deportiva en diferentes disciplinas.</v>
          </cell>
        </row>
        <row r="43">
          <cell r="P43">
            <v>26990</v>
          </cell>
          <cell r="Q43" t="str">
            <v>Otros</v>
          </cell>
          <cell r="Y43" t="str">
            <v>005.54.09</v>
          </cell>
          <cell r="Z43" t="str">
            <v>Promover la firma y ampliación de convenios para el beneficio del estudiantado.</v>
          </cell>
        </row>
        <row r="44">
          <cell r="P44">
            <v>31110</v>
          </cell>
          <cell r="Q44" t="str">
            <v>Gastos destinados al pago de refrigerio al personal de las instit. Publicas</v>
          </cell>
          <cell r="Y44" t="str">
            <v>005.55.10</v>
          </cell>
          <cell r="Z44" t="str">
            <v>Diseñar e implantar mecanismos para concretar la movilidad docente-estudiantil.</v>
          </cell>
        </row>
        <row r="45">
          <cell r="P45">
            <v>31120</v>
          </cell>
          <cell r="Q45" t="str">
            <v>Gastos por alimentación y similares en reuniones,seminarios y otros eventos</v>
          </cell>
          <cell r="Y45" t="str">
            <v>005.56.11</v>
          </cell>
          <cell r="Z45" t="str">
            <v>Elaborar e implantar el reglamento de intercambio docente-estudiantil.</v>
          </cell>
        </row>
        <row r="46">
          <cell r="P46">
            <v>31200</v>
          </cell>
          <cell r="Q46" t="str">
            <v>Alimentos para animales</v>
          </cell>
          <cell r="Y46" t="str">
            <v>005.57.12</v>
          </cell>
          <cell r="Z46" t="str">
            <v>Diseñar e implantar la estructura organizacional formal para facilitar el desarrollo de las actividades universitarias.</v>
          </cell>
        </row>
        <row r="47">
          <cell r="P47">
            <v>31300</v>
          </cell>
          <cell r="Q47" t="str">
            <v>Productos agrícolas, pecuarios y forestales</v>
          </cell>
          <cell r="Y47" t="str">
            <v>004.40.09</v>
          </cell>
          <cell r="Z47" t="str">
            <v>Mejorar las modalidades de ingreso a la universidad.</v>
          </cell>
        </row>
        <row r="48">
          <cell r="P48">
            <v>32100</v>
          </cell>
          <cell r="Q48" t="str">
            <v>Papel de escritorio</v>
          </cell>
          <cell r="Y48" t="str">
            <v>005.42.01</v>
          </cell>
          <cell r="Z48" t="str">
            <v>Fortalecer las condiciones físicas y humanas para la utilización de las tic's en la gestión universitaria.</v>
          </cell>
        </row>
        <row r="49">
          <cell r="P49">
            <v>32200</v>
          </cell>
          <cell r="Q49" t="str">
            <v>Productos de artes graficas, papel y cartón</v>
          </cell>
          <cell r="Y49" t="str">
            <v>005.43.02</v>
          </cell>
          <cell r="Z49" t="str">
            <v>Modernizar los procesos administrativos y académicos de forma digital.</v>
          </cell>
        </row>
        <row r="50">
          <cell r="P50">
            <v>32300</v>
          </cell>
          <cell r="Q50" t="str">
            <v>Libros y revistas</v>
          </cell>
          <cell r="Y50" t="str">
            <v>005.44.03</v>
          </cell>
          <cell r="Z50" t="str">
            <v>Diseñar e implantar mecanismos de control interno en los procesos de descentralización académica administrativa.</v>
          </cell>
        </row>
        <row r="51">
          <cell r="P51">
            <v>32400</v>
          </cell>
          <cell r="Q51" t="str">
            <v>Textos de enseñanza</v>
          </cell>
          <cell r="Y51" t="str">
            <v>005.45.04</v>
          </cell>
          <cell r="Z51" t="str">
            <v>Sistematizar los informes de las unidades académicas y administrativas.</v>
          </cell>
        </row>
        <row r="52">
          <cell r="P52">
            <v>32500</v>
          </cell>
          <cell r="Q52" t="str">
            <v>Periódicos</v>
          </cell>
          <cell r="Y52" t="str">
            <v>005.46.05</v>
          </cell>
          <cell r="Z52" t="str">
            <v>Publicar los informes de las unidades académicas  y administrativas.</v>
          </cell>
        </row>
        <row r="53">
          <cell r="P53">
            <v>33100</v>
          </cell>
          <cell r="Q53" t="str">
            <v>Hilados y telas</v>
          </cell>
          <cell r="Y53" t="str">
            <v>005.48.06</v>
          </cell>
          <cell r="Z53" t="str">
            <v>Brindar un servicio  de salud oportuno y eficiente a los estudiantes de la UAGRM</v>
          </cell>
        </row>
        <row r="54">
          <cell r="P54">
            <v>33200</v>
          </cell>
          <cell r="Q54" t="str">
            <v>Confecciones textiles</v>
          </cell>
          <cell r="Y54" t="str">
            <v>005.58.13</v>
          </cell>
          <cell r="Z54" t="str">
            <v>Iniciar el proceso de compatibilizacion de los sistemas administrativos con la ley SAFCO.</v>
          </cell>
        </row>
        <row r="55">
          <cell r="P55">
            <v>33300</v>
          </cell>
          <cell r="Q55" t="str">
            <v>Prendas de vestir</v>
          </cell>
          <cell r="Y55" t="str">
            <v>005.62.14</v>
          </cell>
          <cell r="Z55" t="str">
            <v>Diviersificar las fuentes de financiamiento del presupuesto universitario.</v>
          </cell>
        </row>
        <row r="56">
          <cell r="P56">
            <v>33400</v>
          </cell>
          <cell r="Q56" t="str">
            <v>Calzados</v>
          </cell>
          <cell r="Y56" t="str">
            <v>005.63.15</v>
          </cell>
          <cell r="Z56" t="str">
            <v>Mejorar la eficiencia de la función administrativa desburocratizando los procesos internos y la organización del trabajo.</v>
          </cell>
        </row>
        <row r="57">
          <cell r="P57">
            <v>34110</v>
          </cell>
          <cell r="Q57" t="str">
            <v>Combustibles,lubricantes y derivados para consumo</v>
          </cell>
        </row>
        <row r="58">
          <cell r="P58">
            <v>34200</v>
          </cell>
          <cell r="Q58" t="str">
            <v>Productos químicos y farmacéuticos</v>
          </cell>
        </row>
        <row r="59">
          <cell r="P59">
            <v>34300</v>
          </cell>
          <cell r="Q59" t="str">
            <v>Llantas y neumáticos</v>
          </cell>
        </row>
        <row r="60">
          <cell r="P60">
            <v>34400</v>
          </cell>
          <cell r="Q60" t="str">
            <v>Productos de cuero y caucho</v>
          </cell>
        </row>
        <row r="61">
          <cell r="P61">
            <v>34500</v>
          </cell>
          <cell r="Q61" t="str">
            <v>Productos de minerales no metálicos y plásticos</v>
          </cell>
        </row>
        <row r="62">
          <cell r="P62">
            <v>34600</v>
          </cell>
          <cell r="Q62" t="str">
            <v>Productos metálicos</v>
          </cell>
        </row>
        <row r="63">
          <cell r="P63">
            <v>34700</v>
          </cell>
          <cell r="Q63" t="str">
            <v>Minerales</v>
          </cell>
        </row>
        <row r="64">
          <cell r="P64">
            <v>34800</v>
          </cell>
          <cell r="Q64" t="str">
            <v>Herramientas menores</v>
          </cell>
        </row>
        <row r="65">
          <cell r="P65">
            <v>34900</v>
          </cell>
          <cell r="Q65" t="str">
            <v>Material y equipo militar</v>
          </cell>
        </row>
        <row r="66">
          <cell r="P66">
            <v>39100</v>
          </cell>
          <cell r="Q66" t="str">
            <v>Material de limpieza</v>
          </cell>
        </row>
        <row r="67">
          <cell r="P67">
            <v>39200</v>
          </cell>
          <cell r="Q67" t="str">
            <v>Material deportivo y recreativo</v>
          </cell>
        </row>
        <row r="68">
          <cell r="P68">
            <v>39300</v>
          </cell>
          <cell r="Q68" t="str">
            <v>Utensilios de cocina y comedor</v>
          </cell>
        </row>
        <row r="69">
          <cell r="P69">
            <v>39400</v>
          </cell>
          <cell r="Q69" t="str">
            <v>Instrumental menor medico-quirúrgico</v>
          </cell>
        </row>
        <row r="70">
          <cell r="P70">
            <v>39500</v>
          </cell>
          <cell r="Q70" t="str">
            <v>Útiles de escritorio y oficina</v>
          </cell>
        </row>
        <row r="71">
          <cell r="P71">
            <v>39600</v>
          </cell>
          <cell r="Q71" t="str">
            <v>Útiles educacionales, culturales y de capacitación</v>
          </cell>
        </row>
        <row r="72">
          <cell r="P72">
            <v>39700</v>
          </cell>
          <cell r="Q72" t="str">
            <v>Útiles y materiales eléctricos</v>
          </cell>
        </row>
        <row r="73">
          <cell r="P73">
            <v>39800</v>
          </cell>
          <cell r="Q73" t="str">
            <v>Otros repuestos y accesorios</v>
          </cell>
        </row>
        <row r="74">
          <cell r="P74">
            <v>39990</v>
          </cell>
          <cell r="Q74" t="str">
            <v>Otros materiales y suministros</v>
          </cell>
        </row>
        <row r="75">
          <cell r="P75">
            <v>41100</v>
          </cell>
          <cell r="Q75" t="str">
            <v>Edificios</v>
          </cell>
        </row>
        <row r="76">
          <cell r="P76">
            <v>41200</v>
          </cell>
          <cell r="Q76" t="str">
            <v>Tierras y terrenos</v>
          </cell>
        </row>
        <row r="77">
          <cell r="P77">
            <v>42210</v>
          </cell>
          <cell r="Q77" t="str">
            <v>Construcciones y mejoras de viviendas</v>
          </cell>
        </row>
        <row r="78">
          <cell r="P78">
            <v>42230</v>
          </cell>
          <cell r="Q78" t="str">
            <v>Otras construcciones y mejoras de bienes públicos de dominio privado</v>
          </cell>
        </row>
        <row r="79">
          <cell r="P79">
            <v>42240</v>
          </cell>
          <cell r="Q79" t="str">
            <v>Supervisión de construcciones y mejoras de bienes públicos de dominio privado</v>
          </cell>
        </row>
        <row r="80">
          <cell r="P80">
            <v>43110</v>
          </cell>
          <cell r="Q80" t="str">
            <v>Equipo de oficina y muebles</v>
          </cell>
        </row>
        <row r="81">
          <cell r="P81">
            <v>43120</v>
          </cell>
          <cell r="Q81" t="str">
            <v>Equipo de computación</v>
          </cell>
        </row>
        <row r="82">
          <cell r="P82">
            <v>43200</v>
          </cell>
          <cell r="Q82" t="str">
            <v>Maquinaria y equipo de producción</v>
          </cell>
        </row>
        <row r="83">
          <cell r="P83">
            <v>43330</v>
          </cell>
          <cell r="Q83" t="str">
            <v>Maquinaria y equipo de transporte de tracción</v>
          </cell>
        </row>
        <row r="84">
          <cell r="P84">
            <v>43340</v>
          </cell>
          <cell r="Q84" t="str">
            <v>Equipo de elevación</v>
          </cell>
        </row>
        <row r="85">
          <cell r="P85">
            <v>43400</v>
          </cell>
          <cell r="Q85" t="str">
            <v>Equipo medico y de laboratorio</v>
          </cell>
        </row>
        <row r="86">
          <cell r="P86">
            <v>43500</v>
          </cell>
          <cell r="Q86" t="str">
            <v>Equipo de comunicaciones</v>
          </cell>
        </row>
        <row r="87">
          <cell r="P87">
            <v>43600</v>
          </cell>
          <cell r="Q87" t="str">
            <v>Equipo educacional y recreativo</v>
          </cell>
        </row>
        <row r="88">
          <cell r="P88">
            <v>43700</v>
          </cell>
          <cell r="Q88" t="str">
            <v>Otra maquinaria y equipo</v>
          </cell>
        </row>
        <row r="89">
          <cell r="P89">
            <v>46110</v>
          </cell>
          <cell r="Q89" t="str">
            <v>Consultorio por producto para construcciones de bienes públicos de dominio priva</v>
          </cell>
        </row>
        <row r="90">
          <cell r="P90">
            <v>46120</v>
          </cell>
          <cell r="Q90" t="str">
            <v>Consultorio en línea para construcciones de bienes de dominio privado</v>
          </cell>
        </row>
        <row r="91">
          <cell r="P91">
            <v>49100</v>
          </cell>
          <cell r="Q91" t="str">
            <v>Activos intangibles</v>
          </cell>
        </row>
        <row r="92">
          <cell r="P92">
            <v>49400</v>
          </cell>
          <cell r="Q92" t="str">
            <v>Activos museológicos y culturales</v>
          </cell>
        </row>
        <row r="93">
          <cell r="P93">
            <v>49900</v>
          </cell>
          <cell r="Q93" t="str">
            <v>Otros activos fijos</v>
          </cell>
        </row>
        <row r="94">
          <cell r="P94">
            <v>51100</v>
          </cell>
          <cell r="Q94" t="str">
            <v>Acciones y participaciones de capital en empresas privadas nacionales</v>
          </cell>
        </row>
        <row r="95">
          <cell r="P95">
            <v>61600</v>
          </cell>
          <cell r="Q95" t="str">
            <v>Amortización de la deuda publica interna a largo plazo</v>
          </cell>
        </row>
        <row r="96">
          <cell r="P96">
            <v>61700</v>
          </cell>
          <cell r="Q96" t="str">
            <v>Intereses de la deuda publica interna a largo plazo</v>
          </cell>
        </row>
        <row r="97">
          <cell r="P97">
            <v>61800</v>
          </cell>
          <cell r="Q97" t="str">
            <v>Comisiones y otros gastos de la deuda publica interna a largo plazo</v>
          </cell>
        </row>
        <row r="98">
          <cell r="P98">
            <v>66100</v>
          </cell>
          <cell r="Q98" t="str">
            <v>Gastos devengados no pagados por servicios personales</v>
          </cell>
        </row>
        <row r="99">
          <cell r="P99">
            <v>66200</v>
          </cell>
          <cell r="Q99" t="str">
            <v>Gastos devengados no pagados por servicios no personales, mat. Y suministros, ac</v>
          </cell>
        </row>
        <row r="100">
          <cell r="P100">
            <v>66300</v>
          </cell>
          <cell r="Q100" t="str">
            <v>Gastos devengados no pagados por transferencias</v>
          </cell>
        </row>
        <row r="101">
          <cell r="P101">
            <v>66400</v>
          </cell>
          <cell r="Q101" t="str">
            <v>Gastos devengados no pagados por retenciones</v>
          </cell>
        </row>
        <row r="102">
          <cell r="P102">
            <v>66900</v>
          </cell>
          <cell r="Q102" t="str">
            <v>Otros gastos no pagados</v>
          </cell>
        </row>
        <row r="103">
          <cell r="P103">
            <v>68200</v>
          </cell>
          <cell r="Q103" t="str">
            <v>Pago de beneficios sociales</v>
          </cell>
        </row>
        <row r="104">
          <cell r="P104">
            <v>71220</v>
          </cell>
          <cell r="Q104" t="str">
            <v>Becas de estudio, otorgadas a los estudiantes universitarios</v>
          </cell>
        </row>
        <row r="105">
          <cell r="P105">
            <v>71300</v>
          </cell>
          <cell r="Q105" t="str">
            <v>Donaciones, ayudas sociales y premios a personas</v>
          </cell>
        </row>
        <row r="106">
          <cell r="P106">
            <v>71610</v>
          </cell>
          <cell r="Q106" t="str">
            <v>A personas e inst.privadas sin fines de lucro</v>
          </cell>
        </row>
        <row r="107">
          <cell r="P107">
            <v>75210</v>
          </cell>
          <cell r="Q107" t="str">
            <v>A inst. Privadas sin fines de lucro</v>
          </cell>
        </row>
        <row r="108">
          <cell r="P108">
            <v>79100</v>
          </cell>
          <cell r="Q108" t="str">
            <v>Transferencias corrientes a gobiernos extranjeros y organismos internacionales p</v>
          </cell>
        </row>
        <row r="109">
          <cell r="P109">
            <v>81600</v>
          </cell>
          <cell r="Q109" t="str">
            <v>Impuesto a los consumos específicos importaciones</v>
          </cell>
        </row>
        <row r="110">
          <cell r="P110">
            <v>85100</v>
          </cell>
          <cell r="Q110" t="str">
            <v>Tasas</v>
          </cell>
        </row>
        <row r="111">
          <cell r="P111">
            <v>85200</v>
          </cell>
          <cell r="Q111" t="str">
            <v>Derechos</v>
          </cell>
        </row>
        <row r="112">
          <cell r="P112">
            <v>85400</v>
          </cell>
          <cell r="Q112" t="str">
            <v>Multas</v>
          </cell>
        </row>
        <row r="113">
          <cell r="P113">
            <v>94100</v>
          </cell>
          <cell r="Q113" t="str">
            <v>Indemnización</v>
          </cell>
        </row>
        <row r="114">
          <cell r="P114">
            <v>94200</v>
          </cell>
          <cell r="Q114" t="str">
            <v>Desahucio</v>
          </cell>
        </row>
        <row r="115">
          <cell r="P115">
            <v>94300</v>
          </cell>
          <cell r="Q115" t="str">
            <v>Otros beneficios sociales</v>
          </cell>
        </row>
        <row r="116">
          <cell r="P116">
            <v>96100</v>
          </cell>
          <cell r="Q116" t="str">
            <v>Perdidas en operaciones cambiarias</v>
          </cell>
        </row>
        <row r="117">
          <cell r="P117">
            <v>96200</v>
          </cell>
          <cell r="Q117" t="str">
            <v>Devoluciones</v>
          </cell>
        </row>
        <row r="118">
          <cell r="P118">
            <v>96900</v>
          </cell>
          <cell r="Q118" t="str">
            <v>Otras perdidas</v>
          </cell>
        </row>
      </sheetData>
      <sheetData sheetId="1" refreshError="1"/>
      <sheetData sheetId="2" refreshError="1">
        <row r="2">
          <cell r="N2" t="str">
            <v>001.02.02.01.0121300</v>
          </cell>
          <cell r="O2" t="str">
            <v>001.02.02.01.01</v>
          </cell>
          <cell r="P2">
            <v>21300</v>
          </cell>
          <cell r="Q2">
            <v>10</v>
          </cell>
        </row>
        <row r="3">
          <cell r="N3" t="str">
            <v>001.02.02.01.0143110</v>
          </cell>
          <cell r="O3" t="str">
            <v>001.02.02.01.01</v>
          </cell>
          <cell r="P3">
            <v>43110</v>
          </cell>
          <cell r="Q3">
            <v>30</v>
          </cell>
        </row>
        <row r="4">
          <cell r="N4" t="str">
            <v>001.02.02.01.0194300</v>
          </cell>
          <cell r="O4" t="str">
            <v>001.02.02.01.01</v>
          </cell>
          <cell r="P4">
            <v>94300</v>
          </cell>
          <cell r="Q4">
            <v>20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/>
  <dimension ref="A1:Z610"/>
  <sheetViews>
    <sheetView showGridLines="0" tabSelected="1" zoomScale="107" zoomScaleNormal="107" workbookViewId="0">
      <selection activeCell="N17" sqref="N17"/>
    </sheetView>
  </sheetViews>
  <sheetFormatPr baseColWidth="10" defaultRowHeight="18" x14ac:dyDescent="0.25"/>
  <cols>
    <col min="1" max="1" width="1.28515625" style="27" customWidth="1"/>
    <col min="2" max="2" width="3.7109375" style="5" customWidth="1"/>
    <col min="3" max="3" width="8.140625" style="5" customWidth="1"/>
    <col min="4" max="4" width="8.7109375" style="25" customWidth="1"/>
    <col min="5" max="5" width="39" style="7" customWidth="1"/>
    <col min="6" max="6" width="10.7109375" style="8" customWidth="1"/>
    <col min="7" max="7" width="9.28515625" style="5" customWidth="1"/>
    <col min="8" max="8" width="10.140625" style="5" customWidth="1"/>
    <col min="9" max="9" width="13.28515625" style="74" customWidth="1"/>
    <col min="10" max="21" width="8.7109375" style="6" customWidth="1"/>
    <col min="22" max="22" width="11.140625" style="81" customWidth="1"/>
    <col min="23" max="23" width="5.7109375" style="6" customWidth="1"/>
    <col min="24" max="24" width="15.28515625" style="6" customWidth="1"/>
    <col min="25" max="25" width="1.28515625" style="27" customWidth="1"/>
    <col min="27" max="16384" width="11.42578125" style="6"/>
  </cols>
  <sheetData>
    <row r="1" spans="1:25" ht="24" customHeight="1" x14ac:dyDescent="0.25">
      <c r="A1" s="26"/>
      <c r="B1" s="9"/>
      <c r="C1" s="9"/>
      <c r="D1" s="24"/>
      <c r="E1" s="10"/>
      <c r="F1" s="70"/>
      <c r="G1" s="70"/>
      <c r="H1" s="70"/>
      <c r="I1" s="70"/>
      <c r="J1" s="70"/>
      <c r="K1" s="70"/>
      <c r="L1" s="70"/>
      <c r="V1" s="6"/>
      <c r="Y1" s="26"/>
    </row>
    <row r="2" spans="1:25" ht="15" customHeight="1" x14ac:dyDescent="0.2">
      <c r="A2" s="26"/>
      <c r="B2" s="9"/>
      <c r="C2" s="9"/>
      <c r="D2" s="89" t="s">
        <v>202</v>
      </c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26"/>
    </row>
    <row r="3" spans="1:25" ht="27.75" customHeight="1" x14ac:dyDescent="0.2">
      <c r="A3" s="26"/>
      <c r="B3" s="9"/>
      <c r="C3" s="9"/>
      <c r="D3" s="90" t="s">
        <v>203</v>
      </c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26"/>
    </row>
    <row r="4" spans="1:25" s="12" customFormat="1" ht="15" customHeight="1" x14ac:dyDescent="0.2">
      <c r="A4" s="65"/>
      <c r="B4" s="63"/>
      <c r="C4" s="63"/>
      <c r="D4" s="71" t="s">
        <v>204</v>
      </c>
      <c r="E4" s="71"/>
      <c r="F4" s="71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5"/>
    </row>
    <row r="5" spans="1:25" ht="12.75" customHeight="1" x14ac:dyDescent="0.2">
      <c r="A5" s="26"/>
      <c r="B5" s="9"/>
      <c r="C5" s="9"/>
      <c r="D5" s="71" t="s">
        <v>205</v>
      </c>
      <c r="E5" s="71"/>
      <c r="F5" s="71"/>
      <c r="G5" s="10"/>
      <c r="H5" s="10"/>
      <c r="I5" s="73"/>
      <c r="J5" s="10"/>
      <c r="K5" s="10"/>
      <c r="L5" s="10"/>
      <c r="V5" s="6"/>
      <c r="Y5" s="26"/>
    </row>
    <row r="6" spans="1:25" ht="12.75" customHeight="1" x14ac:dyDescent="0.25">
      <c r="A6" s="26"/>
      <c r="B6" s="62"/>
      <c r="C6" s="62"/>
      <c r="D6" s="68" t="s">
        <v>207</v>
      </c>
      <c r="E6" s="68"/>
      <c r="F6" s="68"/>
      <c r="G6" s="68"/>
      <c r="H6" s="68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26"/>
    </row>
    <row r="7" spans="1:25" ht="12.75" customHeight="1" x14ac:dyDescent="0.2">
      <c r="D7" s="69" t="s">
        <v>206</v>
      </c>
      <c r="E7" s="69"/>
      <c r="F7" s="69"/>
      <c r="G7" s="68"/>
      <c r="H7" s="68"/>
    </row>
    <row r="8" spans="1:25" ht="12.75" customHeight="1" x14ac:dyDescent="0.25">
      <c r="A8" s="28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28"/>
    </row>
    <row r="9" spans="1:25" ht="26.25" customHeight="1" x14ac:dyDescent="0.2">
      <c r="A9" s="29"/>
      <c r="B9" s="83" t="s">
        <v>193</v>
      </c>
      <c r="C9" s="87" t="s">
        <v>200</v>
      </c>
      <c r="D9" s="66" t="s">
        <v>196</v>
      </c>
      <c r="E9" s="66" t="s">
        <v>12</v>
      </c>
      <c r="F9" s="66" t="s">
        <v>194</v>
      </c>
      <c r="G9" s="66" t="s">
        <v>199</v>
      </c>
      <c r="H9" s="66" t="s">
        <v>195</v>
      </c>
      <c r="I9" s="66" t="s">
        <v>14</v>
      </c>
      <c r="J9" s="84" t="s">
        <v>209</v>
      </c>
      <c r="K9" s="85"/>
      <c r="L9" s="85"/>
      <c r="M9" s="85"/>
      <c r="N9" s="85"/>
      <c r="O9" s="85"/>
      <c r="P9" s="85"/>
      <c r="Q9" s="85"/>
      <c r="R9" s="85"/>
      <c r="S9" s="85"/>
      <c r="T9" s="85"/>
      <c r="U9" s="86"/>
      <c r="V9" s="66" t="s">
        <v>197</v>
      </c>
      <c r="W9" s="66"/>
      <c r="X9" s="66" t="s">
        <v>198</v>
      </c>
      <c r="Y9" s="29"/>
    </row>
    <row r="10" spans="1:25" ht="24.75" customHeight="1" x14ac:dyDescent="0.2">
      <c r="A10" s="29"/>
      <c r="B10" s="83"/>
      <c r="C10" s="88"/>
      <c r="D10" s="66"/>
      <c r="E10" s="66"/>
      <c r="F10" s="66"/>
      <c r="G10" s="66"/>
      <c r="H10" s="66"/>
      <c r="I10" s="66"/>
      <c r="J10" s="75" t="s">
        <v>0</v>
      </c>
      <c r="K10" s="75" t="s">
        <v>1</v>
      </c>
      <c r="L10" s="75" t="s">
        <v>2</v>
      </c>
      <c r="M10" s="75" t="s">
        <v>3</v>
      </c>
      <c r="N10" s="75" t="s">
        <v>4</v>
      </c>
      <c r="O10" s="75" t="s">
        <v>5</v>
      </c>
      <c r="P10" s="75" t="s">
        <v>6</v>
      </c>
      <c r="Q10" s="75" t="s">
        <v>7</v>
      </c>
      <c r="R10" s="75" t="s">
        <v>8</v>
      </c>
      <c r="S10" s="75" t="s">
        <v>9</v>
      </c>
      <c r="T10" s="75" t="s">
        <v>10</v>
      </c>
      <c r="U10" s="75" t="s">
        <v>11</v>
      </c>
      <c r="V10" s="66"/>
      <c r="W10" s="66"/>
      <c r="X10" s="66"/>
      <c r="Y10" s="29"/>
    </row>
    <row r="11" spans="1:25" ht="15.95" customHeight="1" x14ac:dyDescent="0.25">
      <c r="A11" s="30"/>
      <c r="B11" s="32">
        <v>1</v>
      </c>
      <c r="C11" s="11"/>
      <c r="D11" s="33"/>
      <c r="E11" s="34"/>
      <c r="F11" s="35"/>
      <c r="G11" s="76"/>
      <c r="H11" s="76"/>
      <c r="I11" s="77">
        <f>G11*H11</f>
        <v>0</v>
      </c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9"/>
      <c r="V11" s="82">
        <f t="shared" ref="V11:V42" si="0">SUM(J11:U11)</f>
        <v>0</v>
      </c>
      <c r="W11" s="13" t="str">
        <f t="shared" ref="W11:W42" si="1">IF(I11=V11,"P","O")</f>
        <v>P</v>
      </c>
      <c r="X11" s="36"/>
      <c r="Y11" s="30"/>
    </row>
    <row r="12" spans="1:25" ht="15.95" customHeight="1" x14ac:dyDescent="0.25">
      <c r="A12" s="30"/>
      <c r="B12" s="32">
        <v>2</v>
      </c>
      <c r="C12" s="11"/>
      <c r="D12" s="33"/>
      <c r="E12" s="34"/>
      <c r="F12" s="35"/>
      <c r="G12" s="76"/>
      <c r="H12" s="76"/>
      <c r="I12" s="77">
        <f t="shared" ref="I12:I75" si="2">G12*H12</f>
        <v>0</v>
      </c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9"/>
      <c r="V12" s="82">
        <f t="shared" si="0"/>
        <v>0</v>
      </c>
      <c r="W12" s="13" t="str">
        <f t="shared" si="1"/>
        <v>P</v>
      </c>
      <c r="X12" s="36"/>
      <c r="Y12" s="30"/>
    </row>
    <row r="13" spans="1:25" ht="15.95" customHeight="1" x14ac:dyDescent="0.25">
      <c r="A13" s="30"/>
      <c r="B13" s="32">
        <v>3</v>
      </c>
      <c r="C13" s="11"/>
      <c r="D13" s="33"/>
      <c r="E13" s="34"/>
      <c r="F13" s="35"/>
      <c r="G13" s="76"/>
      <c r="H13" s="76"/>
      <c r="I13" s="77">
        <f t="shared" si="2"/>
        <v>0</v>
      </c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9"/>
      <c r="V13" s="82">
        <f t="shared" si="0"/>
        <v>0</v>
      </c>
      <c r="W13" s="13" t="str">
        <f t="shared" si="1"/>
        <v>P</v>
      </c>
      <c r="X13" s="36"/>
      <c r="Y13" s="30"/>
    </row>
    <row r="14" spans="1:25" ht="15.95" customHeight="1" x14ac:dyDescent="0.25">
      <c r="A14" s="30"/>
      <c r="B14" s="32">
        <v>4</v>
      </c>
      <c r="C14" s="11"/>
      <c r="D14" s="33"/>
      <c r="E14" s="34"/>
      <c r="F14" s="35"/>
      <c r="G14" s="76"/>
      <c r="H14" s="76"/>
      <c r="I14" s="77">
        <f t="shared" si="2"/>
        <v>0</v>
      </c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9"/>
      <c r="V14" s="82">
        <f t="shared" si="0"/>
        <v>0</v>
      </c>
      <c r="W14" s="13" t="str">
        <f t="shared" si="1"/>
        <v>P</v>
      </c>
      <c r="X14" s="36"/>
      <c r="Y14" s="30"/>
    </row>
    <row r="15" spans="1:25" ht="20.100000000000001" customHeight="1" x14ac:dyDescent="0.25">
      <c r="A15" s="30"/>
      <c r="B15" s="32">
        <v>5</v>
      </c>
      <c r="C15" s="11"/>
      <c r="D15" s="33"/>
      <c r="E15" s="34"/>
      <c r="F15" s="35"/>
      <c r="G15" s="80"/>
      <c r="H15" s="80"/>
      <c r="I15" s="77">
        <f>G15*H15</f>
        <v>0</v>
      </c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9"/>
      <c r="V15" s="82">
        <f t="shared" si="0"/>
        <v>0</v>
      </c>
      <c r="W15" s="13" t="str">
        <f t="shared" si="1"/>
        <v>P</v>
      </c>
      <c r="X15" s="36"/>
      <c r="Y15" s="30"/>
    </row>
    <row r="16" spans="1:25" ht="20.100000000000001" customHeight="1" x14ac:dyDescent="0.25">
      <c r="A16" s="30"/>
      <c r="B16" s="32">
        <v>6</v>
      </c>
      <c r="C16" s="11"/>
      <c r="D16" s="33"/>
      <c r="E16" s="34"/>
      <c r="F16" s="35"/>
      <c r="G16" s="76"/>
      <c r="H16" s="76"/>
      <c r="I16" s="77">
        <f t="shared" si="2"/>
        <v>0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9"/>
      <c r="V16" s="82">
        <f t="shared" si="0"/>
        <v>0</v>
      </c>
      <c r="W16" s="13" t="str">
        <f t="shared" si="1"/>
        <v>P</v>
      </c>
      <c r="X16" s="36"/>
      <c r="Y16" s="30"/>
    </row>
    <row r="17" spans="1:25" ht="20.100000000000001" customHeight="1" x14ac:dyDescent="0.25">
      <c r="A17" s="30"/>
      <c r="B17" s="32">
        <v>7</v>
      </c>
      <c r="C17" s="11"/>
      <c r="D17" s="33"/>
      <c r="E17" s="34"/>
      <c r="F17" s="35"/>
      <c r="G17" s="76"/>
      <c r="H17" s="76"/>
      <c r="I17" s="77">
        <f t="shared" si="2"/>
        <v>0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9"/>
      <c r="V17" s="82">
        <f t="shared" si="0"/>
        <v>0</v>
      </c>
      <c r="W17" s="13" t="str">
        <f t="shared" si="1"/>
        <v>P</v>
      </c>
      <c r="X17" s="36"/>
      <c r="Y17" s="30"/>
    </row>
    <row r="18" spans="1:25" ht="20.100000000000001" customHeight="1" x14ac:dyDescent="0.25">
      <c r="A18" s="30"/>
      <c r="B18" s="32">
        <v>8</v>
      </c>
      <c r="C18" s="11"/>
      <c r="D18" s="33"/>
      <c r="E18" s="34"/>
      <c r="F18" s="35"/>
      <c r="G18" s="76"/>
      <c r="H18" s="76"/>
      <c r="I18" s="77">
        <f t="shared" si="2"/>
        <v>0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9"/>
      <c r="V18" s="82">
        <f>SUM(J18:U18)</f>
        <v>0</v>
      </c>
      <c r="W18" s="13" t="str">
        <f t="shared" si="1"/>
        <v>P</v>
      </c>
      <c r="X18" s="36"/>
      <c r="Y18" s="30"/>
    </row>
    <row r="19" spans="1:25" ht="20.100000000000001" customHeight="1" x14ac:dyDescent="0.25">
      <c r="A19" s="30"/>
      <c r="B19" s="32">
        <v>9</v>
      </c>
      <c r="C19" s="11"/>
      <c r="D19" s="33"/>
      <c r="E19" s="34"/>
      <c r="F19" s="35"/>
      <c r="G19" s="76"/>
      <c r="H19" s="76"/>
      <c r="I19" s="77">
        <f t="shared" si="2"/>
        <v>0</v>
      </c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9"/>
      <c r="V19" s="82">
        <f t="shared" si="0"/>
        <v>0</v>
      </c>
      <c r="W19" s="13" t="str">
        <f t="shared" si="1"/>
        <v>P</v>
      </c>
      <c r="X19" s="36"/>
      <c r="Y19" s="30"/>
    </row>
    <row r="20" spans="1:25" ht="20.100000000000001" customHeight="1" x14ac:dyDescent="0.25">
      <c r="A20" s="30"/>
      <c r="B20" s="32">
        <v>10</v>
      </c>
      <c r="C20" s="11"/>
      <c r="D20" s="33"/>
      <c r="E20" s="34"/>
      <c r="F20" s="35"/>
      <c r="G20" s="76"/>
      <c r="H20" s="76"/>
      <c r="I20" s="77">
        <f t="shared" si="2"/>
        <v>0</v>
      </c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9"/>
      <c r="V20" s="82">
        <f t="shared" si="0"/>
        <v>0</v>
      </c>
      <c r="W20" s="13" t="str">
        <f t="shared" si="1"/>
        <v>P</v>
      </c>
      <c r="X20" s="36"/>
      <c r="Y20" s="30"/>
    </row>
    <row r="21" spans="1:25" ht="20.100000000000001" customHeight="1" x14ac:dyDescent="0.25">
      <c r="A21" s="30"/>
      <c r="B21" s="32">
        <v>11</v>
      </c>
      <c r="C21" s="11"/>
      <c r="D21" s="33"/>
      <c r="E21" s="34"/>
      <c r="F21" s="35"/>
      <c r="G21" s="76"/>
      <c r="H21" s="76"/>
      <c r="I21" s="77">
        <f t="shared" si="2"/>
        <v>0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9"/>
      <c r="V21" s="82">
        <f t="shared" si="0"/>
        <v>0</v>
      </c>
      <c r="W21" s="13" t="str">
        <f t="shared" si="1"/>
        <v>P</v>
      </c>
      <c r="X21" s="36"/>
      <c r="Y21" s="30"/>
    </row>
    <row r="22" spans="1:25" ht="20.100000000000001" customHeight="1" x14ac:dyDescent="0.25">
      <c r="A22" s="30"/>
      <c r="B22" s="32">
        <v>12</v>
      </c>
      <c r="C22" s="11"/>
      <c r="D22" s="33"/>
      <c r="E22" s="34"/>
      <c r="F22" s="35"/>
      <c r="G22" s="76"/>
      <c r="H22" s="76"/>
      <c r="I22" s="77">
        <f t="shared" si="2"/>
        <v>0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9"/>
      <c r="V22" s="82">
        <f t="shared" si="0"/>
        <v>0</v>
      </c>
      <c r="W22" s="13" t="str">
        <f t="shared" si="1"/>
        <v>P</v>
      </c>
      <c r="X22" s="36"/>
      <c r="Y22" s="30"/>
    </row>
    <row r="23" spans="1:25" ht="20.100000000000001" customHeight="1" x14ac:dyDescent="0.25">
      <c r="A23" s="30"/>
      <c r="B23" s="32">
        <v>13</v>
      </c>
      <c r="C23" s="11"/>
      <c r="D23" s="33"/>
      <c r="E23" s="34"/>
      <c r="F23" s="35"/>
      <c r="G23" s="76"/>
      <c r="H23" s="76"/>
      <c r="I23" s="77">
        <f t="shared" si="2"/>
        <v>0</v>
      </c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9"/>
      <c r="V23" s="82">
        <f t="shared" si="0"/>
        <v>0</v>
      </c>
      <c r="W23" s="13" t="str">
        <f t="shared" si="1"/>
        <v>P</v>
      </c>
      <c r="X23" s="36"/>
      <c r="Y23" s="30"/>
    </row>
    <row r="24" spans="1:25" ht="20.100000000000001" customHeight="1" x14ac:dyDescent="0.25">
      <c r="A24" s="30"/>
      <c r="B24" s="32">
        <v>14</v>
      </c>
      <c r="C24" s="11"/>
      <c r="D24" s="33"/>
      <c r="E24" s="34"/>
      <c r="F24" s="35"/>
      <c r="G24" s="76"/>
      <c r="H24" s="76"/>
      <c r="I24" s="77">
        <f t="shared" si="2"/>
        <v>0</v>
      </c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9"/>
      <c r="V24" s="82">
        <f t="shared" si="0"/>
        <v>0</v>
      </c>
      <c r="W24" s="13" t="str">
        <f t="shared" si="1"/>
        <v>P</v>
      </c>
      <c r="X24" s="36"/>
      <c r="Y24" s="30"/>
    </row>
    <row r="25" spans="1:25" ht="20.100000000000001" customHeight="1" x14ac:dyDescent="0.25">
      <c r="A25" s="30"/>
      <c r="B25" s="32">
        <v>15</v>
      </c>
      <c r="C25" s="11"/>
      <c r="D25" s="33"/>
      <c r="E25" s="34"/>
      <c r="F25" s="35"/>
      <c r="G25" s="76"/>
      <c r="H25" s="76"/>
      <c r="I25" s="77">
        <f t="shared" si="2"/>
        <v>0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9"/>
      <c r="V25" s="82">
        <f t="shared" si="0"/>
        <v>0</v>
      </c>
      <c r="W25" s="13" t="str">
        <f t="shared" si="1"/>
        <v>P</v>
      </c>
      <c r="X25" s="36"/>
      <c r="Y25" s="30"/>
    </row>
    <row r="26" spans="1:25" ht="20.100000000000001" customHeight="1" x14ac:dyDescent="0.25">
      <c r="A26" s="30"/>
      <c r="B26" s="32">
        <v>16</v>
      </c>
      <c r="C26" s="11"/>
      <c r="D26" s="33"/>
      <c r="E26" s="34"/>
      <c r="F26" s="35"/>
      <c r="G26" s="76"/>
      <c r="H26" s="76"/>
      <c r="I26" s="77">
        <f t="shared" si="2"/>
        <v>0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9"/>
      <c r="V26" s="82">
        <f t="shared" si="0"/>
        <v>0</v>
      </c>
      <c r="W26" s="13" t="str">
        <f t="shared" si="1"/>
        <v>P</v>
      </c>
      <c r="X26" s="36"/>
      <c r="Y26" s="30"/>
    </row>
    <row r="27" spans="1:25" ht="20.100000000000001" customHeight="1" x14ac:dyDescent="0.25">
      <c r="A27" s="30"/>
      <c r="B27" s="32">
        <v>17</v>
      </c>
      <c r="C27" s="11"/>
      <c r="D27" s="33"/>
      <c r="E27" s="34"/>
      <c r="F27" s="35"/>
      <c r="G27" s="76"/>
      <c r="H27" s="76"/>
      <c r="I27" s="77">
        <f t="shared" si="2"/>
        <v>0</v>
      </c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9"/>
      <c r="V27" s="82">
        <f t="shared" si="0"/>
        <v>0</v>
      </c>
      <c r="W27" s="13" t="str">
        <f t="shared" si="1"/>
        <v>P</v>
      </c>
      <c r="X27" s="36"/>
      <c r="Y27" s="30"/>
    </row>
    <row r="28" spans="1:25" ht="20.100000000000001" customHeight="1" x14ac:dyDescent="0.25">
      <c r="A28" s="30"/>
      <c r="B28" s="32">
        <v>18</v>
      </c>
      <c r="C28" s="11"/>
      <c r="D28" s="33"/>
      <c r="E28" s="34"/>
      <c r="F28" s="35"/>
      <c r="G28" s="76"/>
      <c r="H28" s="76"/>
      <c r="I28" s="77">
        <f t="shared" si="2"/>
        <v>0</v>
      </c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9"/>
      <c r="V28" s="82">
        <f t="shared" si="0"/>
        <v>0</v>
      </c>
      <c r="W28" s="13" t="str">
        <f t="shared" si="1"/>
        <v>P</v>
      </c>
      <c r="X28" s="36"/>
      <c r="Y28" s="30"/>
    </row>
    <row r="29" spans="1:25" ht="20.100000000000001" customHeight="1" x14ac:dyDescent="0.25">
      <c r="A29" s="30"/>
      <c r="B29" s="32">
        <v>19</v>
      </c>
      <c r="C29" s="11"/>
      <c r="D29" s="33"/>
      <c r="E29" s="34"/>
      <c r="F29" s="35"/>
      <c r="G29" s="76"/>
      <c r="H29" s="76"/>
      <c r="I29" s="77">
        <f t="shared" si="2"/>
        <v>0</v>
      </c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9"/>
      <c r="V29" s="82">
        <f t="shared" si="0"/>
        <v>0</v>
      </c>
      <c r="W29" s="13" t="str">
        <f t="shared" si="1"/>
        <v>P</v>
      </c>
      <c r="X29" s="36"/>
      <c r="Y29" s="30"/>
    </row>
    <row r="30" spans="1:25" ht="20.100000000000001" customHeight="1" x14ac:dyDescent="0.25">
      <c r="A30" s="30"/>
      <c r="B30" s="32">
        <v>20</v>
      </c>
      <c r="C30" s="11"/>
      <c r="D30" s="33"/>
      <c r="E30" s="34"/>
      <c r="F30" s="35"/>
      <c r="G30" s="76"/>
      <c r="H30" s="76"/>
      <c r="I30" s="77">
        <f t="shared" si="2"/>
        <v>0</v>
      </c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9"/>
      <c r="V30" s="82">
        <f t="shared" si="0"/>
        <v>0</v>
      </c>
      <c r="W30" s="13" t="str">
        <f t="shared" si="1"/>
        <v>P</v>
      </c>
      <c r="X30" s="36"/>
      <c r="Y30" s="30"/>
    </row>
    <row r="31" spans="1:25" ht="20.100000000000001" customHeight="1" x14ac:dyDescent="0.25">
      <c r="A31" s="30"/>
      <c r="B31" s="32">
        <v>21</v>
      </c>
      <c r="C31" s="11"/>
      <c r="D31" s="33"/>
      <c r="E31" s="34"/>
      <c r="F31" s="35"/>
      <c r="G31" s="76"/>
      <c r="H31" s="76"/>
      <c r="I31" s="77">
        <f t="shared" si="2"/>
        <v>0</v>
      </c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9"/>
      <c r="V31" s="82">
        <f t="shared" si="0"/>
        <v>0</v>
      </c>
      <c r="W31" s="13" t="str">
        <f t="shared" si="1"/>
        <v>P</v>
      </c>
      <c r="X31" s="36"/>
      <c r="Y31" s="30"/>
    </row>
    <row r="32" spans="1:25" ht="20.100000000000001" customHeight="1" x14ac:dyDescent="0.25">
      <c r="A32" s="30"/>
      <c r="B32" s="32">
        <v>22</v>
      </c>
      <c r="C32" s="11"/>
      <c r="D32" s="33"/>
      <c r="E32" s="34"/>
      <c r="F32" s="35"/>
      <c r="G32" s="76"/>
      <c r="H32" s="76"/>
      <c r="I32" s="77">
        <f t="shared" si="2"/>
        <v>0</v>
      </c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9"/>
      <c r="V32" s="82">
        <f t="shared" si="0"/>
        <v>0</v>
      </c>
      <c r="W32" s="13" t="str">
        <f t="shared" si="1"/>
        <v>P</v>
      </c>
      <c r="X32" s="36"/>
      <c r="Y32" s="30"/>
    </row>
    <row r="33" spans="1:25" ht="20.100000000000001" customHeight="1" x14ac:dyDescent="0.25">
      <c r="A33" s="30"/>
      <c r="B33" s="32">
        <v>23</v>
      </c>
      <c r="C33" s="11"/>
      <c r="D33" s="33"/>
      <c r="E33" s="34"/>
      <c r="F33" s="35"/>
      <c r="G33" s="76"/>
      <c r="H33" s="76"/>
      <c r="I33" s="77">
        <f t="shared" si="2"/>
        <v>0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9"/>
      <c r="V33" s="82">
        <f t="shared" si="0"/>
        <v>0</v>
      </c>
      <c r="W33" s="13" t="str">
        <f t="shared" si="1"/>
        <v>P</v>
      </c>
      <c r="X33" s="36"/>
      <c r="Y33" s="30"/>
    </row>
    <row r="34" spans="1:25" ht="20.100000000000001" customHeight="1" x14ac:dyDescent="0.25">
      <c r="A34" s="30"/>
      <c r="B34" s="32">
        <v>24</v>
      </c>
      <c r="C34" s="11"/>
      <c r="D34" s="33"/>
      <c r="E34" s="34"/>
      <c r="F34" s="35"/>
      <c r="G34" s="76"/>
      <c r="H34" s="76"/>
      <c r="I34" s="77">
        <f t="shared" si="2"/>
        <v>0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9"/>
      <c r="V34" s="82">
        <f t="shared" si="0"/>
        <v>0</v>
      </c>
      <c r="W34" s="13" t="str">
        <f t="shared" si="1"/>
        <v>P</v>
      </c>
      <c r="X34" s="36"/>
      <c r="Y34" s="30"/>
    </row>
    <row r="35" spans="1:25" ht="20.100000000000001" customHeight="1" x14ac:dyDescent="0.25">
      <c r="A35" s="30"/>
      <c r="B35" s="32">
        <v>25</v>
      </c>
      <c r="C35" s="11"/>
      <c r="D35" s="33"/>
      <c r="E35" s="34"/>
      <c r="F35" s="35"/>
      <c r="G35" s="76"/>
      <c r="H35" s="76"/>
      <c r="I35" s="77">
        <f t="shared" si="2"/>
        <v>0</v>
      </c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9"/>
      <c r="V35" s="82">
        <f t="shared" si="0"/>
        <v>0</v>
      </c>
      <c r="W35" s="13" t="str">
        <f t="shared" si="1"/>
        <v>P</v>
      </c>
      <c r="X35" s="36"/>
      <c r="Y35" s="30"/>
    </row>
    <row r="36" spans="1:25" ht="20.100000000000001" customHeight="1" x14ac:dyDescent="0.25">
      <c r="A36" s="30"/>
      <c r="B36" s="32">
        <v>26</v>
      </c>
      <c r="C36" s="11"/>
      <c r="D36" s="33"/>
      <c r="E36" s="34"/>
      <c r="F36" s="35"/>
      <c r="G36" s="76"/>
      <c r="H36" s="76"/>
      <c r="I36" s="77">
        <f t="shared" si="2"/>
        <v>0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9"/>
      <c r="V36" s="82">
        <f t="shared" si="0"/>
        <v>0</v>
      </c>
      <c r="W36" s="13" t="str">
        <f t="shared" si="1"/>
        <v>P</v>
      </c>
      <c r="X36" s="36"/>
      <c r="Y36" s="30"/>
    </row>
    <row r="37" spans="1:25" ht="20.100000000000001" customHeight="1" x14ac:dyDescent="0.25">
      <c r="A37" s="30"/>
      <c r="B37" s="32">
        <v>27</v>
      </c>
      <c r="C37" s="11"/>
      <c r="D37" s="33"/>
      <c r="E37" s="34"/>
      <c r="F37" s="35"/>
      <c r="G37" s="76"/>
      <c r="H37" s="76"/>
      <c r="I37" s="77">
        <f t="shared" si="2"/>
        <v>0</v>
      </c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9"/>
      <c r="V37" s="82">
        <f t="shared" si="0"/>
        <v>0</v>
      </c>
      <c r="W37" s="13" t="str">
        <f t="shared" si="1"/>
        <v>P</v>
      </c>
      <c r="X37" s="36"/>
      <c r="Y37" s="30"/>
    </row>
    <row r="38" spans="1:25" ht="20.100000000000001" customHeight="1" x14ac:dyDescent="0.25">
      <c r="A38" s="30"/>
      <c r="B38" s="32">
        <v>28</v>
      </c>
      <c r="C38" s="11"/>
      <c r="D38" s="33"/>
      <c r="E38" s="34"/>
      <c r="F38" s="35"/>
      <c r="G38" s="76"/>
      <c r="H38" s="76"/>
      <c r="I38" s="77">
        <f t="shared" si="2"/>
        <v>0</v>
      </c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9"/>
      <c r="V38" s="82">
        <f t="shared" si="0"/>
        <v>0</v>
      </c>
      <c r="W38" s="13" t="str">
        <f t="shared" si="1"/>
        <v>P</v>
      </c>
      <c r="X38" s="36"/>
      <c r="Y38" s="30"/>
    </row>
    <row r="39" spans="1:25" ht="20.100000000000001" customHeight="1" x14ac:dyDescent="0.25">
      <c r="A39" s="30"/>
      <c r="B39" s="32">
        <v>29</v>
      </c>
      <c r="C39" s="11"/>
      <c r="D39" s="33"/>
      <c r="E39" s="34"/>
      <c r="F39" s="35"/>
      <c r="G39" s="76"/>
      <c r="H39" s="76"/>
      <c r="I39" s="77">
        <f t="shared" si="2"/>
        <v>0</v>
      </c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9"/>
      <c r="V39" s="82">
        <f t="shared" si="0"/>
        <v>0</v>
      </c>
      <c r="W39" s="13" t="str">
        <f t="shared" si="1"/>
        <v>P</v>
      </c>
      <c r="X39" s="36"/>
      <c r="Y39" s="30"/>
    </row>
    <row r="40" spans="1:25" ht="20.100000000000001" customHeight="1" x14ac:dyDescent="0.25">
      <c r="A40" s="30"/>
      <c r="B40" s="32">
        <v>30</v>
      </c>
      <c r="C40" s="11"/>
      <c r="D40" s="33"/>
      <c r="E40" s="34"/>
      <c r="F40" s="35"/>
      <c r="G40" s="76"/>
      <c r="H40" s="76"/>
      <c r="I40" s="77">
        <f t="shared" si="2"/>
        <v>0</v>
      </c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9"/>
      <c r="V40" s="82">
        <f t="shared" si="0"/>
        <v>0</v>
      </c>
      <c r="W40" s="13" t="str">
        <f t="shared" si="1"/>
        <v>P</v>
      </c>
      <c r="X40" s="36"/>
      <c r="Y40" s="30"/>
    </row>
    <row r="41" spans="1:25" ht="20.100000000000001" customHeight="1" x14ac:dyDescent="0.25">
      <c r="A41" s="30"/>
      <c r="B41" s="32">
        <v>31</v>
      </c>
      <c r="C41" s="11"/>
      <c r="D41" s="33"/>
      <c r="E41" s="34"/>
      <c r="F41" s="35"/>
      <c r="G41" s="76"/>
      <c r="H41" s="76"/>
      <c r="I41" s="77">
        <f t="shared" si="2"/>
        <v>0</v>
      </c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9"/>
      <c r="V41" s="82">
        <f t="shared" si="0"/>
        <v>0</v>
      </c>
      <c r="W41" s="13" t="str">
        <f t="shared" si="1"/>
        <v>P</v>
      </c>
      <c r="X41" s="36"/>
      <c r="Y41" s="30"/>
    </row>
    <row r="42" spans="1:25" ht="20.100000000000001" customHeight="1" x14ac:dyDescent="0.25">
      <c r="A42" s="30"/>
      <c r="B42" s="32">
        <v>32</v>
      </c>
      <c r="C42" s="11"/>
      <c r="D42" s="33"/>
      <c r="E42" s="34"/>
      <c r="F42" s="35"/>
      <c r="G42" s="76"/>
      <c r="H42" s="76"/>
      <c r="I42" s="77">
        <f t="shared" si="2"/>
        <v>0</v>
      </c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9"/>
      <c r="V42" s="82">
        <f t="shared" si="0"/>
        <v>0</v>
      </c>
      <c r="W42" s="13" t="str">
        <f t="shared" si="1"/>
        <v>P</v>
      </c>
      <c r="X42" s="36"/>
      <c r="Y42" s="30"/>
    </row>
    <row r="43" spans="1:25" ht="20.100000000000001" customHeight="1" x14ac:dyDescent="0.25">
      <c r="A43" s="30"/>
      <c r="B43" s="32">
        <v>33</v>
      </c>
      <c r="C43" s="11"/>
      <c r="D43" s="33"/>
      <c r="E43" s="34"/>
      <c r="F43" s="35"/>
      <c r="G43" s="76"/>
      <c r="H43" s="76"/>
      <c r="I43" s="77">
        <f t="shared" si="2"/>
        <v>0</v>
      </c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9"/>
      <c r="V43" s="82">
        <f t="shared" ref="V43:V74" si="3">SUM(J43:U43)</f>
        <v>0</v>
      </c>
      <c r="W43" s="13" t="str">
        <f t="shared" ref="W43:W74" si="4">IF(I43=V43,"P","O")</f>
        <v>P</v>
      </c>
      <c r="X43" s="36"/>
      <c r="Y43" s="30"/>
    </row>
    <row r="44" spans="1:25" ht="20.100000000000001" customHeight="1" x14ac:dyDescent="0.25">
      <c r="A44" s="30"/>
      <c r="B44" s="32">
        <v>34</v>
      </c>
      <c r="C44" s="11"/>
      <c r="D44" s="33"/>
      <c r="E44" s="34"/>
      <c r="F44" s="35"/>
      <c r="G44" s="76"/>
      <c r="H44" s="76"/>
      <c r="I44" s="77">
        <f t="shared" si="2"/>
        <v>0</v>
      </c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9"/>
      <c r="V44" s="82">
        <f t="shared" si="3"/>
        <v>0</v>
      </c>
      <c r="W44" s="13" t="str">
        <f t="shared" si="4"/>
        <v>P</v>
      </c>
      <c r="X44" s="36"/>
      <c r="Y44" s="30"/>
    </row>
    <row r="45" spans="1:25" ht="20.100000000000001" customHeight="1" x14ac:dyDescent="0.25">
      <c r="A45" s="30"/>
      <c r="B45" s="32">
        <v>35</v>
      </c>
      <c r="C45" s="11"/>
      <c r="D45" s="33"/>
      <c r="E45" s="34"/>
      <c r="F45" s="35"/>
      <c r="G45" s="76"/>
      <c r="H45" s="76"/>
      <c r="I45" s="77">
        <f t="shared" si="2"/>
        <v>0</v>
      </c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9"/>
      <c r="V45" s="82">
        <f t="shared" si="3"/>
        <v>0</v>
      </c>
      <c r="W45" s="13" t="str">
        <f t="shared" si="4"/>
        <v>P</v>
      </c>
      <c r="X45" s="36"/>
      <c r="Y45" s="30"/>
    </row>
    <row r="46" spans="1:25" ht="20.100000000000001" customHeight="1" x14ac:dyDescent="0.25">
      <c r="A46" s="30"/>
      <c r="B46" s="32">
        <v>36</v>
      </c>
      <c r="C46" s="11"/>
      <c r="D46" s="33"/>
      <c r="E46" s="34"/>
      <c r="F46" s="35"/>
      <c r="G46" s="76"/>
      <c r="H46" s="76"/>
      <c r="I46" s="77">
        <f t="shared" si="2"/>
        <v>0</v>
      </c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9"/>
      <c r="V46" s="82">
        <f t="shared" si="3"/>
        <v>0</v>
      </c>
      <c r="W46" s="13" t="str">
        <f t="shared" si="4"/>
        <v>P</v>
      </c>
      <c r="X46" s="36"/>
      <c r="Y46" s="30"/>
    </row>
    <row r="47" spans="1:25" ht="20.100000000000001" customHeight="1" x14ac:dyDescent="0.25">
      <c r="A47" s="30"/>
      <c r="B47" s="32">
        <v>37</v>
      </c>
      <c r="C47" s="11"/>
      <c r="D47" s="33"/>
      <c r="E47" s="34"/>
      <c r="F47" s="35"/>
      <c r="G47" s="76"/>
      <c r="H47" s="76"/>
      <c r="I47" s="77">
        <f t="shared" si="2"/>
        <v>0</v>
      </c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9"/>
      <c r="V47" s="82">
        <f t="shared" si="3"/>
        <v>0</v>
      </c>
      <c r="W47" s="13" t="str">
        <f t="shared" si="4"/>
        <v>P</v>
      </c>
      <c r="X47" s="36"/>
      <c r="Y47" s="30"/>
    </row>
    <row r="48" spans="1:25" ht="20.100000000000001" customHeight="1" x14ac:dyDescent="0.25">
      <c r="A48" s="30"/>
      <c r="B48" s="32">
        <v>38</v>
      </c>
      <c r="C48" s="11"/>
      <c r="D48" s="33"/>
      <c r="E48" s="34"/>
      <c r="F48" s="35"/>
      <c r="G48" s="76"/>
      <c r="H48" s="76"/>
      <c r="I48" s="77">
        <f t="shared" si="2"/>
        <v>0</v>
      </c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9"/>
      <c r="V48" s="82">
        <f t="shared" si="3"/>
        <v>0</v>
      </c>
      <c r="W48" s="13" t="str">
        <f t="shared" si="4"/>
        <v>P</v>
      </c>
      <c r="X48" s="36"/>
      <c r="Y48" s="30"/>
    </row>
    <row r="49" spans="1:25" ht="20.100000000000001" customHeight="1" x14ac:dyDescent="0.25">
      <c r="A49" s="30"/>
      <c r="B49" s="32">
        <v>39</v>
      </c>
      <c r="C49" s="11"/>
      <c r="D49" s="33"/>
      <c r="E49" s="34"/>
      <c r="F49" s="35"/>
      <c r="G49" s="76"/>
      <c r="H49" s="76"/>
      <c r="I49" s="77">
        <f t="shared" si="2"/>
        <v>0</v>
      </c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9"/>
      <c r="V49" s="82">
        <f t="shared" si="3"/>
        <v>0</v>
      </c>
      <c r="W49" s="13" t="str">
        <f t="shared" si="4"/>
        <v>P</v>
      </c>
      <c r="X49" s="36"/>
      <c r="Y49" s="30"/>
    </row>
    <row r="50" spans="1:25" ht="20.100000000000001" customHeight="1" x14ac:dyDescent="0.25">
      <c r="A50" s="30"/>
      <c r="B50" s="32">
        <v>40</v>
      </c>
      <c r="C50" s="11"/>
      <c r="D50" s="33"/>
      <c r="E50" s="34"/>
      <c r="F50" s="35"/>
      <c r="G50" s="76"/>
      <c r="H50" s="76"/>
      <c r="I50" s="77">
        <f t="shared" si="2"/>
        <v>0</v>
      </c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9"/>
      <c r="V50" s="82">
        <f t="shared" si="3"/>
        <v>0</v>
      </c>
      <c r="W50" s="13" t="str">
        <f t="shared" si="4"/>
        <v>P</v>
      </c>
      <c r="X50" s="36"/>
      <c r="Y50" s="30"/>
    </row>
    <row r="51" spans="1:25" ht="20.100000000000001" customHeight="1" x14ac:dyDescent="0.25">
      <c r="A51" s="30"/>
      <c r="B51" s="32">
        <v>41</v>
      </c>
      <c r="C51" s="11"/>
      <c r="D51" s="33"/>
      <c r="E51" s="34"/>
      <c r="F51" s="35"/>
      <c r="G51" s="76"/>
      <c r="H51" s="76"/>
      <c r="I51" s="77">
        <f t="shared" si="2"/>
        <v>0</v>
      </c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9"/>
      <c r="V51" s="82">
        <f t="shared" si="3"/>
        <v>0</v>
      </c>
      <c r="W51" s="13" t="str">
        <f t="shared" si="4"/>
        <v>P</v>
      </c>
      <c r="X51" s="36"/>
      <c r="Y51" s="30"/>
    </row>
    <row r="52" spans="1:25" ht="20.100000000000001" customHeight="1" x14ac:dyDescent="0.25">
      <c r="A52" s="30"/>
      <c r="B52" s="32">
        <v>42</v>
      </c>
      <c r="C52" s="11"/>
      <c r="D52" s="33"/>
      <c r="E52" s="34"/>
      <c r="F52" s="35"/>
      <c r="G52" s="76"/>
      <c r="H52" s="76"/>
      <c r="I52" s="77">
        <f t="shared" si="2"/>
        <v>0</v>
      </c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9"/>
      <c r="V52" s="82">
        <f t="shared" si="3"/>
        <v>0</v>
      </c>
      <c r="W52" s="13" t="str">
        <f t="shared" si="4"/>
        <v>P</v>
      </c>
      <c r="X52" s="36"/>
      <c r="Y52" s="30"/>
    </row>
    <row r="53" spans="1:25" ht="20.100000000000001" customHeight="1" x14ac:dyDescent="0.25">
      <c r="A53" s="30"/>
      <c r="B53" s="32">
        <v>43</v>
      </c>
      <c r="C53" s="11"/>
      <c r="D53" s="33"/>
      <c r="E53" s="34"/>
      <c r="F53" s="35"/>
      <c r="G53" s="76"/>
      <c r="H53" s="76"/>
      <c r="I53" s="77">
        <f t="shared" si="2"/>
        <v>0</v>
      </c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9"/>
      <c r="V53" s="82">
        <f t="shared" si="3"/>
        <v>0</v>
      </c>
      <c r="W53" s="13" t="str">
        <f t="shared" si="4"/>
        <v>P</v>
      </c>
      <c r="X53" s="36"/>
      <c r="Y53" s="30"/>
    </row>
    <row r="54" spans="1:25" ht="20.100000000000001" customHeight="1" x14ac:dyDescent="0.25">
      <c r="A54" s="30"/>
      <c r="B54" s="32">
        <v>44</v>
      </c>
      <c r="C54" s="11"/>
      <c r="D54" s="33"/>
      <c r="E54" s="34"/>
      <c r="F54" s="35"/>
      <c r="G54" s="76"/>
      <c r="H54" s="76"/>
      <c r="I54" s="77">
        <f t="shared" si="2"/>
        <v>0</v>
      </c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9"/>
      <c r="V54" s="82">
        <f t="shared" si="3"/>
        <v>0</v>
      </c>
      <c r="W54" s="13" t="str">
        <f t="shared" si="4"/>
        <v>P</v>
      </c>
      <c r="X54" s="36"/>
      <c r="Y54" s="30"/>
    </row>
    <row r="55" spans="1:25" ht="20.100000000000001" customHeight="1" x14ac:dyDescent="0.25">
      <c r="A55" s="30"/>
      <c r="B55" s="32">
        <v>45</v>
      </c>
      <c r="C55" s="11"/>
      <c r="D55" s="33"/>
      <c r="E55" s="34"/>
      <c r="F55" s="35"/>
      <c r="G55" s="76"/>
      <c r="H55" s="76"/>
      <c r="I55" s="77">
        <f t="shared" si="2"/>
        <v>0</v>
      </c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9"/>
      <c r="V55" s="82">
        <f t="shared" si="3"/>
        <v>0</v>
      </c>
      <c r="W55" s="13" t="str">
        <f t="shared" si="4"/>
        <v>P</v>
      </c>
      <c r="X55" s="36"/>
      <c r="Y55" s="30"/>
    </row>
    <row r="56" spans="1:25" ht="20.100000000000001" customHeight="1" x14ac:dyDescent="0.25">
      <c r="A56" s="30"/>
      <c r="B56" s="32">
        <v>46</v>
      </c>
      <c r="C56" s="11"/>
      <c r="D56" s="33"/>
      <c r="E56" s="34"/>
      <c r="F56" s="35"/>
      <c r="G56" s="76"/>
      <c r="H56" s="76"/>
      <c r="I56" s="77">
        <f t="shared" si="2"/>
        <v>0</v>
      </c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9"/>
      <c r="V56" s="82">
        <f t="shared" si="3"/>
        <v>0</v>
      </c>
      <c r="W56" s="13" t="str">
        <f t="shared" si="4"/>
        <v>P</v>
      </c>
      <c r="X56" s="36"/>
      <c r="Y56" s="30"/>
    </row>
    <row r="57" spans="1:25" ht="20.100000000000001" customHeight="1" x14ac:dyDescent="0.25">
      <c r="A57" s="30"/>
      <c r="B57" s="32">
        <v>47</v>
      </c>
      <c r="C57" s="11"/>
      <c r="D57" s="33"/>
      <c r="E57" s="34"/>
      <c r="F57" s="35"/>
      <c r="G57" s="76"/>
      <c r="H57" s="76"/>
      <c r="I57" s="77">
        <f t="shared" si="2"/>
        <v>0</v>
      </c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9"/>
      <c r="V57" s="82">
        <f t="shared" si="3"/>
        <v>0</v>
      </c>
      <c r="W57" s="13" t="str">
        <f t="shared" si="4"/>
        <v>P</v>
      </c>
      <c r="X57" s="36"/>
      <c r="Y57" s="30"/>
    </row>
    <row r="58" spans="1:25" ht="20.100000000000001" customHeight="1" x14ac:dyDescent="0.25">
      <c r="A58" s="30"/>
      <c r="B58" s="32">
        <v>48</v>
      </c>
      <c r="C58" s="11"/>
      <c r="D58" s="33"/>
      <c r="E58" s="34"/>
      <c r="F58" s="35"/>
      <c r="G58" s="76"/>
      <c r="H58" s="76"/>
      <c r="I58" s="77">
        <f t="shared" si="2"/>
        <v>0</v>
      </c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9"/>
      <c r="V58" s="82">
        <f t="shared" si="3"/>
        <v>0</v>
      </c>
      <c r="W58" s="13" t="str">
        <f t="shared" si="4"/>
        <v>P</v>
      </c>
      <c r="X58" s="36"/>
      <c r="Y58" s="30"/>
    </row>
    <row r="59" spans="1:25" ht="20.100000000000001" customHeight="1" x14ac:dyDescent="0.25">
      <c r="A59" s="30"/>
      <c r="B59" s="32">
        <v>49</v>
      </c>
      <c r="C59" s="11"/>
      <c r="D59" s="33"/>
      <c r="E59" s="34"/>
      <c r="F59" s="35"/>
      <c r="G59" s="76"/>
      <c r="H59" s="76"/>
      <c r="I59" s="77">
        <f t="shared" si="2"/>
        <v>0</v>
      </c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9"/>
      <c r="V59" s="82">
        <f t="shared" si="3"/>
        <v>0</v>
      </c>
      <c r="W59" s="13" t="str">
        <f t="shared" si="4"/>
        <v>P</v>
      </c>
      <c r="X59" s="36"/>
      <c r="Y59" s="30"/>
    </row>
    <row r="60" spans="1:25" ht="20.100000000000001" customHeight="1" x14ac:dyDescent="0.25">
      <c r="A60" s="30"/>
      <c r="B60" s="32">
        <v>50</v>
      </c>
      <c r="C60" s="11"/>
      <c r="D60" s="33"/>
      <c r="E60" s="34"/>
      <c r="F60" s="35"/>
      <c r="G60" s="76"/>
      <c r="H60" s="76"/>
      <c r="I60" s="77">
        <f t="shared" si="2"/>
        <v>0</v>
      </c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9"/>
      <c r="V60" s="82">
        <f t="shared" si="3"/>
        <v>0</v>
      </c>
      <c r="W60" s="13" t="str">
        <f t="shared" si="4"/>
        <v>P</v>
      </c>
      <c r="X60" s="36"/>
      <c r="Y60" s="30"/>
    </row>
    <row r="61" spans="1:25" ht="20.100000000000001" customHeight="1" x14ac:dyDescent="0.25">
      <c r="A61" s="30"/>
      <c r="B61" s="32">
        <v>51</v>
      </c>
      <c r="C61" s="11"/>
      <c r="D61" s="33"/>
      <c r="E61" s="34"/>
      <c r="F61" s="35"/>
      <c r="G61" s="76"/>
      <c r="H61" s="76"/>
      <c r="I61" s="77">
        <f t="shared" si="2"/>
        <v>0</v>
      </c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9"/>
      <c r="V61" s="82">
        <f t="shared" si="3"/>
        <v>0</v>
      </c>
      <c r="W61" s="13" t="str">
        <f t="shared" si="4"/>
        <v>P</v>
      </c>
      <c r="X61" s="36"/>
      <c r="Y61" s="30"/>
    </row>
    <row r="62" spans="1:25" ht="20.100000000000001" customHeight="1" x14ac:dyDescent="0.25">
      <c r="A62" s="30"/>
      <c r="B62" s="32">
        <v>52</v>
      </c>
      <c r="C62" s="11"/>
      <c r="D62" s="33"/>
      <c r="E62" s="34"/>
      <c r="F62" s="35"/>
      <c r="G62" s="76"/>
      <c r="H62" s="76"/>
      <c r="I62" s="77">
        <f t="shared" si="2"/>
        <v>0</v>
      </c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9"/>
      <c r="V62" s="82">
        <f t="shared" si="3"/>
        <v>0</v>
      </c>
      <c r="W62" s="13" t="str">
        <f t="shared" si="4"/>
        <v>P</v>
      </c>
      <c r="X62" s="36"/>
      <c r="Y62" s="30"/>
    </row>
    <row r="63" spans="1:25" ht="20.100000000000001" customHeight="1" x14ac:dyDescent="0.25">
      <c r="A63" s="30"/>
      <c r="B63" s="32">
        <v>53</v>
      </c>
      <c r="C63" s="11"/>
      <c r="D63" s="33"/>
      <c r="E63" s="34"/>
      <c r="F63" s="35"/>
      <c r="G63" s="76"/>
      <c r="H63" s="76"/>
      <c r="I63" s="77">
        <f t="shared" si="2"/>
        <v>0</v>
      </c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9"/>
      <c r="V63" s="82">
        <f t="shared" si="3"/>
        <v>0</v>
      </c>
      <c r="W63" s="13" t="str">
        <f t="shared" si="4"/>
        <v>P</v>
      </c>
      <c r="X63" s="36"/>
      <c r="Y63" s="30"/>
    </row>
    <row r="64" spans="1:25" ht="20.100000000000001" customHeight="1" x14ac:dyDescent="0.25">
      <c r="A64" s="30"/>
      <c r="B64" s="32">
        <v>54</v>
      </c>
      <c r="C64" s="11"/>
      <c r="D64" s="33"/>
      <c r="E64" s="34"/>
      <c r="F64" s="35"/>
      <c r="G64" s="76"/>
      <c r="H64" s="76"/>
      <c r="I64" s="77">
        <f t="shared" si="2"/>
        <v>0</v>
      </c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9"/>
      <c r="V64" s="82">
        <f t="shared" si="3"/>
        <v>0</v>
      </c>
      <c r="W64" s="13" t="str">
        <f t="shared" si="4"/>
        <v>P</v>
      </c>
      <c r="X64" s="36"/>
      <c r="Y64" s="30"/>
    </row>
    <row r="65" spans="1:25" ht="20.100000000000001" customHeight="1" x14ac:dyDescent="0.25">
      <c r="A65" s="30"/>
      <c r="B65" s="32">
        <v>55</v>
      </c>
      <c r="C65" s="11"/>
      <c r="D65" s="33"/>
      <c r="E65" s="34"/>
      <c r="F65" s="35"/>
      <c r="G65" s="76"/>
      <c r="H65" s="76"/>
      <c r="I65" s="77">
        <f t="shared" si="2"/>
        <v>0</v>
      </c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9"/>
      <c r="V65" s="82">
        <f t="shared" si="3"/>
        <v>0</v>
      </c>
      <c r="W65" s="13" t="str">
        <f t="shared" si="4"/>
        <v>P</v>
      </c>
      <c r="X65" s="36"/>
      <c r="Y65" s="30"/>
    </row>
    <row r="66" spans="1:25" ht="20.100000000000001" customHeight="1" x14ac:dyDescent="0.25">
      <c r="A66" s="30"/>
      <c r="B66" s="32">
        <v>56</v>
      </c>
      <c r="C66" s="11"/>
      <c r="D66" s="33"/>
      <c r="E66" s="34"/>
      <c r="F66" s="35"/>
      <c r="G66" s="76"/>
      <c r="H66" s="76"/>
      <c r="I66" s="77">
        <f t="shared" si="2"/>
        <v>0</v>
      </c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9"/>
      <c r="V66" s="82">
        <f t="shared" si="3"/>
        <v>0</v>
      </c>
      <c r="W66" s="13" t="str">
        <f t="shared" si="4"/>
        <v>P</v>
      </c>
      <c r="X66" s="36"/>
      <c r="Y66" s="30"/>
    </row>
    <row r="67" spans="1:25" ht="20.100000000000001" customHeight="1" x14ac:dyDescent="0.25">
      <c r="A67" s="30"/>
      <c r="B67" s="32">
        <v>57</v>
      </c>
      <c r="C67" s="11"/>
      <c r="D67" s="33"/>
      <c r="E67" s="34"/>
      <c r="F67" s="35"/>
      <c r="G67" s="76"/>
      <c r="H67" s="76"/>
      <c r="I67" s="77">
        <f t="shared" si="2"/>
        <v>0</v>
      </c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9"/>
      <c r="V67" s="82">
        <f t="shared" si="3"/>
        <v>0</v>
      </c>
      <c r="W67" s="13" t="str">
        <f t="shared" si="4"/>
        <v>P</v>
      </c>
      <c r="X67" s="36"/>
      <c r="Y67" s="30"/>
    </row>
    <row r="68" spans="1:25" ht="20.100000000000001" customHeight="1" x14ac:dyDescent="0.25">
      <c r="A68" s="30"/>
      <c r="B68" s="32">
        <v>58</v>
      </c>
      <c r="C68" s="11"/>
      <c r="D68" s="33"/>
      <c r="E68" s="34"/>
      <c r="F68" s="35"/>
      <c r="G68" s="76"/>
      <c r="H68" s="76"/>
      <c r="I68" s="77">
        <f t="shared" si="2"/>
        <v>0</v>
      </c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9"/>
      <c r="V68" s="82">
        <f t="shared" si="3"/>
        <v>0</v>
      </c>
      <c r="W68" s="13" t="str">
        <f t="shared" si="4"/>
        <v>P</v>
      </c>
      <c r="X68" s="36"/>
      <c r="Y68" s="30"/>
    </row>
    <row r="69" spans="1:25" ht="20.100000000000001" customHeight="1" x14ac:dyDescent="0.25">
      <c r="A69" s="30"/>
      <c r="B69" s="32">
        <v>59</v>
      </c>
      <c r="C69" s="11"/>
      <c r="D69" s="33"/>
      <c r="E69" s="34"/>
      <c r="F69" s="35"/>
      <c r="G69" s="76"/>
      <c r="H69" s="76"/>
      <c r="I69" s="77">
        <f t="shared" si="2"/>
        <v>0</v>
      </c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9"/>
      <c r="V69" s="82">
        <f t="shared" si="3"/>
        <v>0</v>
      </c>
      <c r="W69" s="13" t="str">
        <f t="shared" si="4"/>
        <v>P</v>
      </c>
      <c r="X69" s="36"/>
      <c r="Y69" s="30"/>
    </row>
    <row r="70" spans="1:25" ht="20.100000000000001" customHeight="1" x14ac:dyDescent="0.25">
      <c r="A70" s="30"/>
      <c r="B70" s="32">
        <v>60</v>
      </c>
      <c r="C70" s="11"/>
      <c r="D70" s="33"/>
      <c r="E70" s="34"/>
      <c r="F70" s="35"/>
      <c r="G70" s="76"/>
      <c r="H70" s="76"/>
      <c r="I70" s="77">
        <f t="shared" si="2"/>
        <v>0</v>
      </c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9"/>
      <c r="V70" s="82">
        <f t="shared" si="3"/>
        <v>0</v>
      </c>
      <c r="W70" s="13" t="str">
        <f t="shared" si="4"/>
        <v>P</v>
      </c>
      <c r="X70" s="36"/>
      <c r="Y70" s="30"/>
    </row>
    <row r="71" spans="1:25" ht="20.100000000000001" customHeight="1" x14ac:dyDescent="0.25">
      <c r="A71" s="30"/>
      <c r="B71" s="32">
        <v>61</v>
      </c>
      <c r="C71" s="11"/>
      <c r="D71" s="33"/>
      <c r="E71" s="34"/>
      <c r="F71" s="35"/>
      <c r="G71" s="76"/>
      <c r="H71" s="76"/>
      <c r="I71" s="77">
        <f t="shared" si="2"/>
        <v>0</v>
      </c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9"/>
      <c r="V71" s="82">
        <f t="shared" si="3"/>
        <v>0</v>
      </c>
      <c r="W71" s="13" t="str">
        <f t="shared" si="4"/>
        <v>P</v>
      </c>
      <c r="X71" s="36"/>
      <c r="Y71" s="30"/>
    </row>
    <row r="72" spans="1:25" ht="20.100000000000001" customHeight="1" x14ac:dyDescent="0.25">
      <c r="A72" s="30"/>
      <c r="B72" s="32">
        <v>62</v>
      </c>
      <c r="C72" s="11"/>
      <c r="D72" s="33"/>
      <c r="E72" s="34"/>
      <c r="F72" s="35"/>
      <c r="G72" s="76"/>
      <c r="H72" s="76"/>
      <c r="I72" s="77">
        <f t="shared" si="2"/>
        <v>0</v>
      </c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9"/>
      <c r="V72" s="82">
        <f t="shared" si="3"/>
        <v>0</v>
      </c>
      <c r="W72" s="13" t="str">
        <f t="shared" si="4"/>
        <v>P</v>
      </c>
      <c r="X72" s="36"/>
      <c r="Y72" s="30"/>
    </row>
    <row r="73" spans="1:25" ht="20.100000000000001" customHeight="1" x14ac:dyDescent="0.25">
      <c r="A73" s="30"/>
      <c r="B73" s="32">
        <v>63</v>
      </c>
      <c r="C73" s="11"/>
      <c r="D73" s="33"/>
      <c r="E73" s="34"/>
      <c r="F73" s="35"/>
      <c r="G73" s="76"/>
      <c r="H73" s="76"/>
      <c r="I73" s="77">
        <f t="shared" si="2"/>
        <v>0</v>
      </c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9"/>
      <c r="V73" s="82">
        <f t="shared" si="3"/>
        <v>0</v>
      </c>
      <c r="W73" s="13" t="str">
        <f t="shared" si="4"/>
        <v>P</v>
      </c>
      <c r="X73" s="36"/>
      <c r="Y73" s="30"/>
    </row>
    <row r="74" spans="1:25" ht="20.100000000000001" customHeight="1" x14ac:dyDescent="0.25">
      <c r="A74" s="30"/>
      <c r="B74" s="32">
        <v>64</v>
      </c>
      <c r="C74" s="11"/>
      <c r="D74" s="33"/>
      <c r="E74" s="34"/>
      <c r="F74" s="35"/>
      <c r="G74" s="76"/>
      <c r="H74" s="76"/>
      <c r="I74" s="77">
        <f t="shared" si="2"/>
        <v>0</v>
      </c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9"/>
      <c r="V74" s="82">
        <f t="shared" si="3"/>
        <v>0</v>
      </c>
      <c r="W74" s="13" t="str">
        <f t="shared" si="4"/>
        <v>P</v>
      </c>
      <c r="X74" s="36"/>
      <c r="Y74" s="30"/>
    </row>
    <row r="75" spans="1:25" ht="20.100000000000001" customHeight="1" x14ac:dyDescent="0.25">
      <c r="A75" s="30"/>
      <c r="B75" s="32">
        <v>65</v>
      </c>
      <c r="C75" s="11"/>
      <c r="D75" s="33"/>
      <c r="E75" s="34"/>
      <c r="F75" s="35"/>
      <c r="G75" s="76"/>
      <c r="H75" s="76"/>
      <c r="I75" s="77">
        <f t="shared" si="2"/>
        <v>0</v>
      </c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9"/>
      <c r="V75" s="82">
        <f t="shared" ref="V75:V106" si="5">SUM(J75:U75)</f>
        <v>0</v>
      </c>
      <c r="W75" s="13" t="str">
        <f t="shared" ref="W75:W106" si="6">IF(I75=V75,"P","O")</f>
        <v>P</v>
      </c>
      <c r="X75" s="36"/>
      <c r="Y75" s="30"/>
    </row>
    <row r="76" spans="1:25" ht="20.100000000000001" customHeight="1" x14ac:dyDescent="0.25">
      <c r="A76" s="30"/>
      <c r="B76" s="32">
        <v>66</v>
      </c>
      <c r="C76" s="11"/>
      <c r="D76" s="33"/>
      <c r="E76" s="34"/>
      <c r="F76" s="35"/>
      <c r="G76" s="76"/>
      <c r="H76" s="76"/>
      <c r="I76" s="77">
        <f t="shared" ref="I76:I139" si="7">G76*H76</f>
        <v>0</v>
      </c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9"/>
      <c r="V76" s="82">
        <f t="shared" si="5"/>
        <v>0</v>
      </c>
      <c r="W76" s="13" t="str">
        <f t="shared" si="6"/>
        <v>P</v>
      </c>
      <c r="X76" s="36"/>
      <c r="Y76" s="30"/>
    </row>
    <row r="77" spans="1:25" ht="20.100000000000001" customHeight="1" x14ac:dyDescent="0.25">
      <c r="A77" s="30"/>
      <c r="B77" s="32">
        <v>67</v>
      </c>
      <c r="C77" s="11"/>
      <c r="D77" s="33"/>
      <c r="E77" s="34"/>
      <c r="F77" s="35"/>
      <c r="G77" s="76"/>
      <c r="H77" s="76"/>
      <c r="I77" s="77">
        <f t="shared" si="7"/>
        <v>0</v>
      </c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9"/>
      <c r="V77" s="82">
        <f t="shared" si="5"/>
        <v>0</v>
      </c>
      <c r="W77" s="13" t="str">
        <f t="shared" si="6"/>
        <v>P</v>
      </c>
      <c r="X77" s="36"/>
      <c r="Y77" s="30"/>
    </row>
    <row r="78" spans="1:25" ht="20.100000000000001" customHeight="1" x14ac:dyDescent="0.25">
      <c r="A78" s="30"/>
      <c r="B78" s="32">
        <v>68</v>
      </c>
      <c r="C78" s="11"/>
      <c r="D78" s="33"/>
      <c r="E78" s="34"/>
      <c r="F78" s="35"/>
      <c r="G78" s="76"/>
      <c r="H78" s="76"/>
      <c r="I78" s="77">
        <f t="shared" si="7"/>
        <v>0</v>
      </c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9"/>
      <c r="V78" s="82">
        <f t="shared" si="5"/>
        <v>0</v>
      </c>
      <c r="W78" s="13" t="str">
        <f t="shared" si="6"/>
        <v>P</v>
      </c>
      <c r="X78" s="36"/>
      <c r="Y78" s="30"/>
    </row>
    <row r="79" spans="1:25" ht="20.100000000000001" customHeight="1" x14ac:dyDescent="0.25">
      <c r="A79" s="30"/>
      <c r="B79" s="32">
        <v>69</v>
      </c>
      <c r="C79" s="11"/>
      <c r="D79" s="33"/>
      <c r="E79" s="34"/>
      <c r="F79" s="35"/>
      <c r="G79" s="76"/>
      <c r="H79" s="76"/>
      <c r="I79" s="77">
        <f t="shared" si="7"/>
        <v>0</v>
      </c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9"/>
      <c r="V79" s="82">
        <f t="shared" si="5"/>
        <v>0</v>
      </c>
      <c r="W79" s="13" t="str">
        <f t="shared" si="6"/>
        <v>P</v>
      </c>
      <c r="X79" s="36"/>
      <c r="Y79" s="30"/>
    </row>
    <row r="80" spans="1:25" ht="20.100000000000001" customHeight="1" x14ac:dyDescent="0.25">
      <c r="A80" s="30"/>
      <c r="B80" s="32">
        <v>70</v>
      </c>
      <c r="C80" s="11"/>
      <c r="D80" s="33"/>
      <c r="E80" s="34"/>
      <c r="F80" s="35"/>
      <c r="G80" s="76"/>
      <c r="H80" s="76"/>
      <c r="I80" s="77">
        <f t="shared" si="7"/>
        <v>0</v>
      </c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9"/>
      <c r="V80" s="82">
        <f t="shared" si="5"/>
        <v>0</v>
      </c>
      <c r="W80" s="13" t="str">
        <f t="shared" si="6"/>
        <v>P</v>
      </c>
      <c r="X80" s="36"/>
      <c r="Y80" s="30"/>
    </row>
    <row r="81" spans="1:25" ht="20.100000000000001" customHeight="1" x14ac:dyDescent="0.25">
      <c r="A81" s="30"/>
      <c r="B81" s="32">
        <v>71</v>
      </c>
      <c r="C81" s="11"/>
      <c r="D81" s="33"/>
      <c r="E81" s="34"/>
      <c r="F81" s="35"/>
      <c r="G81" s="76"/>
      <c r="H81" s="76"/>
      <c r="I81" s="77">
        <f t="shared" si="7"/>
        <v>0</v>
      </c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9"/>
      <c r="V81" s="82">
        <f t="shared" si="5"/>
        <v>0</v>
      </c>
      <c r="W81" s="13" t="str">
        <f t="shared" si="6"/>
        <v>P</v>
      </c>
      <c r="X81" s="36"/>
      <c r="Y81" s="30"/>
    </row>
    <row r="82" spans="1:25" ht="20.100000000000001" customHeight="1" x14ac:dyDescent="0.25">
      <c r="A82" s="30"/>
      <c r="B82" s="32">
        <v>72</v>
      </c>
      <c r="C82" s="11"/>
      <c r="D82" s="33"/>
      <c r="E82" s="34"/>
      <c r="F82" s="35"/>
      <c r="G82" s="76"/>
      <c r="H82" s="76"/>
      <c r="I82" s="77">
        <f t="shared" si="7"/>
        <v>0</v>
      </c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9"/>
      <c r="V82" s="82">
        <f t="shared" si="5"/>
        <v>0</v>
      </c>
      <c r="W82" s="13" t="str">
        <f t="shared" si="6"/>
        <v>P</v>
      </c>
      <c r="X82" s="36"/>
      <c r="Y82" s="30"/>
    </row>
    <row r="83" spans="1:25" ht="20.100000000000001" customHeight="1" x14ac:dyDescent="0.25">
      <c r="A83" s="30"/>
      <c r="B83" s="32">
        <v>73</v>
      </c>
      <c r="C83" s="11"/>
      <c r="D83" s="33"/>
      <c r="E83" s="34"/>
      <c r="F83" s="35"/>
      <c r="G83" s="76"/>
      <c r="H83" s="76"/>
      <c r="I83" s="77">
        <f t="shared" si="7"/>
        <v>0</v>
      </c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9"/>
      <c r="V83" s="82">
        <f t="shared" si="5"/>
        <v>0</v>
      </c>
      <c r="W83" s="13" t="str">
        <f t="shared" si="6"/>
        <v>P</v>
      </c>
      <c r="X83" s="36"/>
      <c r="Y83" s="30"/>
    </row>
    <row r="84" spans="1:25" ht="20.100000000000001" customHeight="1" x14ac:dyDescent="0.25">
      <c r="A84" s="30"/>
      <c r="B84" s="32">
        <v>74</v>
      </c>
      <c r="C84" s="11"/>
      <c r="D84" s="33"/>
      <c r="E84" s="34"/>
      <c r="F84" s="35"/>
      <c r="G84" s="76"/>
      <c r="H84" s="76"/>
      <c r="I84" s="77">
        <f t="shared" si="7"/>
        <v>0</v>
      </c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9"/>
      <c r="V84" s="82">
        <f t="shared" si="5"/>
        <v>0</v>
      </c>
      <c r="W84" s="13" t="str">
        <f t="shared" si="6"/>
        <v>P</v>
      </c>
      <c r="X84" s="36"/>
      <c r="Y84" s="30"/>
    </row>
    <row r="85" spans="1:25" ht="20.100000000000001" customHeight="1" x14ac:dyDescent="0.25">
      <c r="A85" s="30"/>
      <c r="B85" s="32">
        <v>75</v>
      </c>
      <c r="C85" s="11"/>
      <c r="D85" s="33"/>
      <c r="E85" s="34"/>
      <c r="F85" s="35"/>
      <c r="G85" s="76"/>
      <c r="H85" s="76"/>
      <c r="I85" s="77">
        <f t="shared" si="7"/>
        <v>0</v>
      </c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9"/>
      <c r="V85" s="82">
        <f t="shared" si="5"/>
        <v>0</v>
      </c>
      <c r="W85" s="13" t="str">
        <f t="shared" si="6"/>
        <v>P</v>
      </c>
      <c r="X85" s="36"/>
      <c r="Y85" s="30"/>
    </row>
    <row r="86" spans="1:25" ht="20.100000000000001" customHeight="1" x14ac:dyDescent="0.25">
      <c r="A86" s="30"/>
      <c r="B86" s="32">
        <v>76</v>
      </c>
      <c r="C86" s="11"/>
      <c r="D86" s="33"/>
      <c r="E86" s="34"/>
      <c r="F86" s="35"/>
      <c r="G86" s="76"/>
      <c r="H86" s="76"/>
      <c r="I86" s="77">
        <f t="shared" si="7"/>
        <v>0</v>
      </c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9"/>
      <c r="V86" s="82">
        <f t="shared" si="5"/>
        <v>0</v>
      </c>
      <c r="W86" s="13" t="str">
        <f t="shared" si="6"/>
        <v>P</v>
      </c>
      <c r="X86" s="36"/>
      <c r="Y86" s="30"/>
    </row>
    <row r="87" spans="1:25" ht="20.100000000000001" customHeight="1" x14ac:dyDescent="0.25">
      <c r="A87" s="30"/>
      <c r="B87" s="32">
        <v>77</v>
      </c>
      <c r="C87" s="11"/>
      <c r="D87" s="33"/>
      <c r="E87" s="34"/>
      <c r="F87" s="35"/>
      <c r="G87" s="76"/>
      <c r="H87" s="76"/>
      <c r="I87" s="77">
        <f t="shared" si="7"/>
        <v>0</v>
      </c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9"/>
      <c r="V87" s="82">
        <f t="shared" si="5"/>
        <v>0</v>
      </c>
      <c r="W87" s="13" t="str">
        <f t="shared" si="6"/>
        <v>P</v>
      </c>
      <c r="X87" s="36"/>
      <c r="Y87" s="30"/>
    </row>
    <row r="88" spans="1:25" ht="20.100000000000001" customHeight="1" x14ac:dyDescent="0.25">
      <c r="A88" s="30"/>
      <c r="B88" s="32">
        <v>78</v>
      </c>
      <c r="C88" s="11"/>
      <c r="D88" s="33"/>
      <c r="E88" s="34"/>
      <c r="F88" s="35"/>
      <c r="G88" s="76"/>
      <c r="H88" s="76"/>
      <c r="I88" s="77">
        <f t="shared" si="7"/>
        <v>0</v>
      </c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9"/>
      <c r="V88" s="82">
        <f t="shared" si="5"/>
        <v>0</v>
      </c>
      <c r="W88" s="13" t="str">
        <f t="shared" si="6"/>
        <v>P</v>
      </c>
      <c r="X88" s="36"/>
      <c r="Y88" s="30"/>
    </row>
    <row r="89" spans="1:25" ht="20.100000000000001" customHeight="1" x14ac:dyDescent="0.25">
      <c r="A89" s="30"/>
      <c r="B89" s="32">
        <v>79</v>
      </c>
      <c r="C89" s="11"/>
      <c r="D89" s="33"/>
      <c r="E89" s="34"/>
      <c r="F89" s="35"/>
      <c r="G89" s="76"/>
      <c r="H89" s="76"/>
      <c r="I89" s="77">
        <f t="shared" si="7"/>
        <v>0</v>
      </c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9"/>
      <c r="V89" s="82">
        <f t="shared" si="5"/>
        <v>0</v>
      </c>
      <c r="W89" s="13" t="str">
        <f t="shared" si="6"/>
        <v>P</v>
      </c>
      <c r="X89" s="36"/>
      <c r="Y89" s="30"/>
    </row>
    <row r="90" spans="1:25" ht="20.100000000000001" customHeight="1" x14ac:dyDescent="0.25">
      <c r="A90" s="30"/>
      <c r="B90" s="32">
        <v>80</v>
      </c>
      <c r="C90" s="11"/>
      <c r="D90" s="33"/>
      <c r="E90" s="34"/>
      <c r="F90" s="35"/>
      <c r="G90" s="76"/>
      <c r="H90" s="76"/>
      <c r="I90" s="77">
        <f t="shared" si="7"/>
        <v>0</v>
      </c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9"/>
      <c r="V90" s="82">
        <f t="shared" si="5"/>
        <v>0</v>
      </c>
      <c r="W90" s="13" t="str">
        <f t="shared" si="6"/>
        <v>P</v>
      </c>
      <c r="X90" s="36"/>
      <c r="Y90" s="30"/>
    </row>
    <row r="91" spans="1:25" ht="20.100000000000001" customHeight="1" x14ac:dyDescent="0.25">
      <c r="A91" s="30"/>
      <c r="B91" s="32">
        <v>81</v>
      </c>
      <c r="C91" s="11"/>
      <c r="D91" s="33"/>
      <c r="E91" s="34"/>
      <c r="F91" s="35"/>
      <c r="G91" s="76"/>
      <c r="H91" s="76"/>
      <c r="I91" s="77">
        <f t="shared" si="7"/>
        <v>0</v>
      </c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9"/>
      <c r="V91" s="82">
        <f t="shared" si="5"/>
        <v>0</v>
      </c>
      <c r="W91" s="13" t="str">
        <f t="shared" si="6"/>
        <v>P</v>
      </c>
      <c r="X91" s="36"/>
      <c r="Y91" s="30"/>
    </row>
    <row r="92" spans="1:25" ht="20.100000000000001" customHeight="1" x14ac:dyDescent="0.25">
      <c r="A92" s="30"/>
      <c r="B92" s="32">
        <v>82</v>
      </c>
      <c r="C92" s="11"/>
      <c r="D92" s="33"/>
      <c r="E92" s="34"/>
      <c r="F92" s="35"/>
      <c r="G92" s="76"/>
      <c r="H92" s="76"/>
      <c r="I92" s="77">
        <f t="shared" si="7"/>
        <v>0</v>
      </c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9"/>
      <c r="V92" s="82">
        <f t="shared" si="5"/>
        <v>0</v>
      </c>
      <c r="W92" s="13" t="str">
        <f t="shared" si="6"/>
        <v>P</v>
      </c>
      <c r="X92" s="36"/>
      <c r="Y92" s="30"/>
    </row>
    <row r="93" spans="1:25" ht="20.100000000000001" customHeight="1" x14ac:dyDescent="0.25">
      <c r="A93" s="30"/>
      <c r="B93" s="32">
        <v>83</v>
      </c>
      <c r="C93" s="11"/>
      <c r="D93" s="33"/>
      <c r="E93" s="34"/>
      <c r="F93" s="35"/>
      <c r="G93" s="76"/>
      <c r="H93" s="76"/>
      <c r="I93" s="77">
        <f t="shared" si="7"/>
        <v>0</v>
      </c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9"/>
      <c r="V93" s="82">
        <f t="shared" si="5"/>
        <v>0</v>
      </c>
      <c r="W93" s="13" t="str">
        <f t="shared" si="6"/>
        <v>P</v>
      </c>
      <c r="X93" s="36"/>
      <c r="Y93" s="30"/>
    </row>
    <row r="94" spans="1:25" ht="20.100000000000001" customHeight="1" x14ac:dyDescent="0.25">
      <c r="A94" s="30"/>
      <c r="B94" s="32">
        <v>84</v>
      </c>
      <c r="C94" s="11"/>
      <c r="D94" s="33"/>
      <c r="E94" s="34"/>
      <c r="F94" s="35"/>
      <c r="G94" s="76"/>
      <c r="H94" s="76"/>
      <c r="I94" s="77">
        <f t="shared" si="7"/>
        <v>0</v>
      </c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9"/>
      <c r="V94" s="82">
        <f t="shared" si="5"/>
        <v>0</v>
      </c>
      <c r="W94" s="13" t="str">
        <f t="shared" si="6"/>
        <v>P</v>
      </c>
      <c r="X94" s="36"/>
      <c r="Y94" s="30"/>
    </row>
    <row r="95" spans="1:25" ht="20.100000000000001" customHeight="1" x14ac:dyDescent="0.25">
      <c r="A95" s="30"/>
      <c r="B95" s="32">
        <v>85</v>
      </c>
      <c r="C95" s="11"/>
      <c r="D95" s="33"/>
      <c r="E95" s="34"/>
      <c r="F95" s="35"/>
      <c r="G95" s="76"/>
      <c r="H95" s="76"/>
      <c r="I95" s="77">
        <f t="shared" si="7"/>
        <v>0</v>
      </c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9"/>
      <c r="V95" s="82">
        <f t="shared" si="5"/>
        <v>0</v>
      </c>
      <c r="W95" s="13" t="str">
        <f t="shared" si="6"/>
        <v>P</v>
      </c>
      <c r="X95" s="36"/>
      <c r="Y95" s="30"/>
    </row>
    <row r="96" spans="1:25" ht="20.100000000000001" customHeight="1" x14ac:dyDescent="0.25">
      <c r="A96" s="30"/>
      <c r="B96" s="32">
        <v>86</v>
      </c>
      <c r="C96" s="11"/>
      <c r="D96" s="33"/>
      <c r="E96" s="34"/>
      <c r="F96" s="35"/>
      <c r="G96" s="76"/>
      <c r="H96" s="76"/>
      <c r="I96" s="77">
        <f t="shared" si="7"/>
        <v>0</v>
      </c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9"/>
      <c r="V96" s="82">
        <f t="shared" si="5"/>
        <v>0</v>
      </c>
      <c r="W96" s="13" t="str">
        <f t="shared" si="6"/>
        <v>P</v>
      </c>
      <c r="X96" s="36"/>
      <c r="Y96" s="30"/>
    </row>
    <row r="97" spans="1:25" ht="20.100000000000001" customHeight="1" x14ac:dyDescent="0.25">
      <c r="A97" s="30"/>
      <c r="B97" s="32">
        <v>87</v>
      </c>
      <c r="C97" s="11"/>
      <c r="D97" s="33"/>
      <c r="E97" s="34"/>
      <c r="F97" s="35"/>
      <c r="G97" s="76"/>
      <c r="H97" s="76"/>
      <c r="I97" s="77">
        <f t="shared" si="7"/>
        <v>0</v>
      </c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9"/>
      <c r="V97" s="82">
        <f t="shared" si="5"/>
        <v>0</v>
      </c>
      <c r="W97" s="13" t="str">
        <f t="shared" si="6"/>
        <v>P</v>
      </c>
      <c r="X97" s="36"/>
      <c r="Y97" s="30"/>
    </row>
    <row r="98" spans="1:25" ht="20.100000000000001" customHeight="1" x14ac:dyDescent="0.25">
      <c r="A98" s="30"/>
      <c r="B98" s="32">
        <v>88</v>
      </c>
      <c r="C98" s="11"/>
      <c r="D98" s="33"/>
      <c r="E98" s="34"/>
      <c r="F98" s="35"/>
      <c r="G98" s="76"/>
      <c r="H98" s="76"/>
      <c r="I98" s="77">
        <f t="shared" si="7"/>
        <v>0</v>
      </c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9"/>
      <c r="V98" s="82">
        <f t="shared" si="5"/>
        <v>0</v>
      </c>
      <c r="W98" s="13" t="str">
        <f t="shared" si="6"/>
        <v>P</v>
      </c>
      <c r="X98" s="36"/>
      <c r="Y98" s="30"/>
    </row>
    <row r="99" spans="1:25" ht="20.100000000000001" customHeight="1" x14ac:dyDescent="0.25">
      <c r="A99" s="30"/>
      <c r="B99" s="32">
        <v>89</v>
      </c>
      <c r="C99" s="11"/>
      <c r="D99" s="33"/>
      <c r="E99" s="34"/>
      <c r="F99" s="35"/>
      <c r="G99" s="76"/>
      <c r="H99" s="76"/>
      <c r="I99" s="77">
        <f t="shared" si="7"/>
        <v>0</v>
      </c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9"/>
      <c r="V99" s="82">
        <f t="shared" si="5"/>
        <v>0</v>
      </c>
      <c r="W99" s="13" t="str">
        <f t="shared" si="6"/>
        <v>P</v>
      </c>
      <c r="X99" s="36"/>
      <c r="Y99" s="30"/>
    </row>
    <row r="100" spans="1:25" ht="20.100000000000001" customHeight="1" x14ac:dyDescent="0.25">
      <c r="A100" s="30"/>
      <c r="B100" s="32">
        <v>90</v>
      </c>
      <c r="C100" s="11"/>
      <c r="D100" s="33"/>
      <c r="E100" s="34"/>
      <c r="F100" s="35"/>
      <c r="G100" s="76"/>
      <c r="H100" s="76"/>
      <c r="I100" s="77">
        <f t="shared" si="7"/>
        <v>0</v>
      </c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9"/>
      <c r="V100" s="82">
        <f t="shared" si="5"/>
        <v>0</v>
      </c>
      <c r="W100" s="13" t="str">
        <f t="shared" si="6"/>
        <v>P</v>
      </c>
      <c r="X100" s="36"/>
      <c r="Y100" s="30"/>
    </row>
    <row r="101" spans="1:25" ht="20.100000000000001" customHeight="1" x14ac:dyDescent="0.25">
      <c r="A101" s="30"/>
      <c r="B101" s="32">
        <v>91</v>
      </c>
      <c r="C101" s="11"/>
      <c r="D101" s="33"/>
      <c r="E101" s="34"/>
      <c r="F101" s="35"/>
      <c r="G101" s="76"/>
      <c r="H101" s="76"/>
      <c r="I101" s="77">
        <f t="shared" si="7"/>
        <v>0</v>
      </c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9"/>
      <c r="V101" s="82">
        <f t="shared" si="5"/>
        <v>0</v>
      </c>
      <c r="W101" s="13" t="str">
        <f t="shared" si="6"/>
        <v>P</v>
      </c>
      <c r="X101" s="36"/>
      <c r="Y101" s="30"/>
    </row>
    <row r="102" spans="1:25" ht="20.100000000000001" customHeight="1" x14ac:dyDescent="0.25">
      <c r="A102" s="30"/>
      <c r="B102" s="32">
        <v>92</v>
      </c>
      <c r="C102" s="11"/>
      <c r="D102" s="33"/>
      <c r="E102" s="34"/>
      <c r="F102" s="35"/>
      <c r="G102" s="76"/>
      <c r="H102" s="76"/>
      <c r="I102" s="77">
        <f t="shared" si="7"/>
        <v>0</v>
      </c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9"/>
      <c r="V102" s="82">
        <f t="shared" si="5"/>
        <v>0</v>
      </c>
      <c r="W102" s="13" t="str">
        <f t="shared" si="6"/>
        <v>P</v>
      </c>
      <c r="X102" s="36"/>
      <c r="Y102" s="30"/>
    </row>
    <row r="103" spans="1:25" ht="20.100000000000001" customHeight="1" x14ac:dyDescent="0.25">
      <c r="A103" s="30"/>
      <c r="B103" s="32">
        <v>93</v>
      </c>
      <c r="C103" s="11"/>
      <c r="D103" s="33"/>
      <c r="E103" s="34"/>
      <c r="F103" s="35"/>
      <c r="G103" s="76"/>
      <c r="H103" s="76"/>
      <c r="I103" s="77">
        <f t="shared" si="7"/>
        <v>0</v>
      </c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9"/>
      <c r="V103" s="82">
        <f t="shared" si="5"/>
        <v>0</v>
      </c>
      <c r="W103" s="13" t="str">
        <f t="shared" si="6"/>
        <v>P</v>
      </c>
      <c r="X103" s="36"/>
      <c r="Y103" s="30"/>
    </row>
    <row r="104" spans="1:25" ht="20.100000000000001" customHeight="1" x14ac:dyDescent="0.25">
      <c r="A104" s="30"/>
      <c r="B104" s="32">
        <v>94</v>
      </c>
      <c r="C104" s="11"/>
      <c r="D104" s="33"/>
      <c r="E104" s="34"/>
      <c r="F104" s="35"/>
      <c r="G104" s="76"/>
      <c r="H104" s="76"/>
      <c r="I104" s="77">
        <f t="shared" si="7"/>
        <v>0</v>
      </c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9"/>
      <c r="V104" s="82">
        <f t="shared" si="5"/>
        <v>0</v>
      </c>
      <c r="W104" s="13" t="str">
        <f t="shared" si="6"/>
        <v>P</v>
      </c>
      <c r="X104" s="36"/>
      <c r="Y104" s="30"/>
    </row>
    <row r="105" spans="1:25" ht="20.100000000000001" customHeight="1" x14ac:dyDescent="0.25">
      <c r="A105" s="30"/>
      <c r="B105" s="32">
        <v>95</v>
      </c>
      <c r="C105" s="11"/>
      <c r="D105" s="33"/>
      <c r="E105" s="34"/>
      <c r="F105" s="35"/>
      <c r="G105" s="76"/>
      <c r="H105" s="76"/>
      <c r="I105" s="77">
        <f t="shared" si="7"/>
        <v>0</v>
      </c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9"/>
      <c r="V105" s="82">
        <f t="shared" si="5"/>
        <v>0</v>
      </c>
      <c r="W105" s="13" t="str">
        <f t="shared" si="6"/>
        <v>P</v>
      </c>
      <c r="X105" s="36"/>
      <c r="Y105" s="30"/>
    </row>
    <row r="106" spans="1:25" ht="20.100000000000001" customHeight="1" x14ac:dyDescent="0.25">
      <c r="A106" s="30"/>
      <c r="B106" s="32">
        <v>96</v>
      </c>
      <c r="C106" s="11"/>
      <c r="D106" s="33"/>
      <c r="E106" s="34"/>
      <c r="F106" s="35"/>
      <c r="G106" s="76"/>
      <c r="H106" s="76"/>
      <c r="I106" s="77">
        <f t="shared" si="7"/>
        <v>0</v>
      </c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9"/>
      <c r="V106" s="82">
        <f t="shared" si="5"/>
        <v>0</v>
      </c>
      <c r="W106" s="13" t="str">
        <f t="shared" si="6"/>
        <v>P</v>
      </c>
      <c r="X106" s="36"/>
      <c r="Y106" s="30"/>
    </row>
    <row r="107" spans="1:25" ht="20.100000000000001" customHeight="1" x14ac:dyDescent="0.25">
      <c r="A107" s="30"/>
      <c r="B107" s="32">
        <v>97</v>
      </c>
      <c r="C107" s="11"/>
      <c r="D107" s="33"/>
      <c r="E107" s="34"/>
      <c r="F107" s="35"/>
      <c r="G107" s="76"/>
      <c r="H107" s="76"/>
      <c r="I107" s="77">
        <f t="shared" si="7"/>
        <v>0</v>
      </c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9"/>
      <c r="V107" s="82">
        <f t="shared" ref="V107:V138" si="8">SUM(J107:U107)</f>
        <v>0</v>
      </c>
      <c r="W107" s="13" t="str">
        <f t="shared" ref="W107:W138" si="9">IF(I107=V107,"P","O")</f>
        <v>P</v>
      </c>
      <c r="X107" s="36"/>
      <c r="Y107" s="30"/>
    </row>
    <row r="108" spans="1:25" ht="20.100000000000001" customHeight="1" x14ac:dyDescent="0.25">
      <c r="A108" s="30"/>
      <c r="B108" s="32">
        <v>98</v>
      </c>
      <c r="C108" s="11"/>
      <c r="D108" s="33"/>
      <c r="E108" s="34"/>
      <c r="F108" s="35"/>
      <c r="G108" s="76"/>
      <c r="H108" s="76"/>
      <c r="I108" s="77">
        <f t="shared" si="7"/>
        <v>0</v>
      </c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9"/>
      <c r="V108" s="82">
        <f t="shared" si="8"/>
        <v>0</v>
      </c>
      <c r="W108" s="13" t="str">
        <f t="shared" si="9"/>
        <v>P</v>
      </c>
      <c r="X108" s="36"/>
      <c r="Y108" s="30"/>
    </row>
    <row r="109" spans="1:25" ht="20.100000000000001" customHeight="1" x14ac:dyDescent="0.25">
      <c r="A109" s="30"/>
      <c r="B109" s="32">
        <v>99</v>
      </c>
      <c r="C109" s="11"/>
      <c r="D109" s="33"/>
      <c r="E109" s="34"/>
      <c r="F109" s="35"/>
      <c r="G109" s="76"/>
      <c r="H109" s="76"/>
      <c r="I109" s="77">
        <f t="shared" si="7"/>
        <v>0</v>
      </c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9"/>
      <c r="V109" s="82">
        <f t="shared" si="8"/>
        <v>0</v>
      </c>
      <c r="W109" s="13" t="str">
        <f t="shared" si="9"/>
        <v>P</v>
      </c>
      <c r="X109" s="36"/>
      <c r="Y109" s="30"/>
    </row>
    <row r="110" spans="1:25" ht="20.100000000000001" customHeight="1" x14ac:dyDescent="0.25">
      <c r="A110" s="30"/>
      <c r="B110" s="32">
        <v>100</v>
      </c>
      <c r="C110" s="11"/>
      <c r="D110" s="33"/>
      <c r="E110" s="34"/>
      <c r="F110" s="35"/>
      <c r="G110" s="76"/>
      <c r="H110" s="76"/>
      <c r="I110" s="77">
        <f t="shared" si="7"/>
        <v>0</v>
      </c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9"/>
      <c r="V110" s="82">
        <f t="shared" si="8"/>
        <v>0</v>
      </c>
      <c r="W110" s="13" t="str">
        <f t="shared" si="9"/>
        <v>P</v>
      </c>
      <c r="X110" s="36"/>
      <c r="Y110" s="30"/>
    </row>
    <row r="111" spans="1:25" ht="20.100000000000001" customHeight="1" x14ac:dyDescent="0.25">
      <c r="A111" s="30"/>
      <c r="B111" s="32">
        <v>101</v>
      </c>
      <c r="C111" s="11"/>
      <c r="D111" s="33"/>
      <c r="E111" s="34"/>
      <c r="F111" s="35"/>
      <c r="G111" s="76"/>
      <c r="H111" s="76"/>
      <c r="I111" s="77">
        <f t="shared" si="7"/>
        <v>0</v>
      </c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9"/>
      <c r="V111" s="82">
        <f t="shared" si="8"/>
        <v>0</v>
      </c>
      <c r="W111" s="13" t="str">
        <f t="shared" si="9"/>
        <v>P</v>
      </c>
      <c r="X111" s="36"/>
      <c r="Y111" s="30"/>
    </row>
    <row r="112" spans="1:25" ht="20.100000000000001" customHeight="1" x14ac:dyDescent="0.25">
      <c r="A112" s="30"/>
      <c r="B112" s="32">
        <v>102</v>
      </c>
      <c r="C112" s="11"/>
      <c r="D112" s="33"/>
      <c r="E112" s="34"/>
      <c r="F112" s="35"/>
      <c r="G112" s="76"/>
      <c r="H112" s="76"/>
      <c r="I112" s="77">
        <f t="shared" si="7"/>
        <v>0</v>
      </c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9"/>
      <c r="V112" s="82">
        <f t="shared" si="8"/>
        <v>0</v>
      </c>
      <c r="W112" s="13" t="str">
        <f t="shared" si="9"/>
        <v>P</v>
      </c>
      <c r="X112" s="36"/>
      <c r="Y112" s="30"/>
    </row>
    <row r="113" spans="1:25" ht="20.100000000000001" customHeight="1" x14ac:dyDescent="0.25">
      <c r="A113" s="30"/>
      <c r="B113" s="32">
        <v>103</v>
      </c>
      <c r="C113" s="11"/>
      <c r="D113" s="33"/>
      <c r="E113" s="34"/>
      <c r="F113" s="35"/>
      <c r="G113" s="76"/>
      <c r="H113" s="76"/>
      <c r="I113" s="77">
        <f t="shared" si="7"/>
        <v>0</v>
      </c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9"/>
      <c r="V113" s="82">
        <f t="shared" si="8"/>
        <v>0</v>
      </c>
      <c r="W113" s="13" t="str">
        <f t="shared" si="9"/>
        <v>P</v>
      </c>
      <c r="X113" s="36"/>
      <c r="Y113" s="30"/>
    </row>
    <row r="114" spans="1:25" ht="20.100000000000001" customHeight="1" x14ac:dyDescent="0.25">
      <c r="A114" s="30"/>
      <c r="B114" s="32">
        <v>104</v>
      </c>
      <c r="C114" s="11"/>
      <c r="D114" s="33"/>
      <c r="E114" s="34"/>
      <c r="F114" s="35"/>
      <c r="G114" s="76"/>
      <c r="H114" s="76"/>
      <c r="I114" s="77">
        <f t="shared" si="7"/>
        <v>0</v>
      </c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9"/>
      <c r="V114" s="82">
        <f t="shared" si="8"/>
        <v>0</v>
      </c>
      <c r="W114" s="13" t="str">
        <f t="shared" si="9"/>
        <v>P</v>
      </c>
      <c r="X114" s="36"/>
      <c r="Y114" s="30"/>
    </row>
    <row r="115" spans="1:25" ht="20.100000000000001" customHeight="1" x14ac:dyDescent="0.25">
      <c r="A115" s="30"/>
      <c r="B115" s="32">
        <v>105</v>
      </c>
      <c r="C115" s="11"/>
      <c r="D115" s="33"/>
      <c r="E115" s="34"/>
      <c r="F115" s="35"/>
      <c r="G115" s="76"/>
      <c r="H115" s="76"/>
      <c r="I115" s="77">
        <f t="shared" si="7"/>
        <v>0</v>
      </c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9"/>
      <c r="V115" s="82">
        <f t="shared" si="8"/>
        <v>0</v>
      </c>
      <c r="W115" s="13" t="str">
        <f t="shared" si="9"/>
        <v>P</v>
      </c>
      <c r="X115" s="36"/>
      <c r="Y115" s="30"/>
    </row>
    <row r="116" spans="1:25" ht="20.100000000000001" customHeight="1" x14ac:dyDescent="0.25">
      <c r="A116" s="30"/>
      <c r="B116" s="32">
        <v>106</v>
      </c>
      <c r="C116" s="11"/>
      <c r="D116" s="33"/>
      <c r="E116" s="34"/>
      <c r="F116" s="35"/>
      <c r="G116" s="76"/>
      <c r="H116" s="76"/>
      <c r="I116" s="77">
        <f t="shared" si="7"/>
        <v>0</v>
      </c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9"/>
      <c r="V116" s="82">
        <f t="shared" si="8"/>
        <v>0</v>
      </c>
      <c r="W116" s="13" t="str">
        <f t="shared" si="9"/>
        <v>P</v>
      </c>
      <c r="X116" s="36"/>
      <c r="Y116" s="30"/>
    </row>
    <row r="117" spans="1:25" ht="20.100000000000001" customHeight="1" x14ac:dyDescent="0.25">
      <c r="A117" s="30"/>
      <c r="B117" s="32">
        <v>107</v>
      </c>
      <c r="C117" s="11"/>
      <c r="D117" s="33"/>
      <c r="E117" s="34"/>
      <c r="F117" s="35"/>
      <c r="G117" s="76"/>
      <c r="H117" s="76"/>
      <c r="I117" s="77">
        <f t="shared" si="7"/>
        <v>0</v>
      </c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9"/>
      <c r="V117" s="82">
        <f t="shared" si="8"/>
        <v>0</v>
      </c>
      <c r="W117" s="13" t="str">
        <f t="shared" si="9"/>
        <v>P</v>
      </c>
      <c r="X117" s="36"/>
      <c r="Y117" s="30"/>
    </row>
    <row r="118" spans="1:25" ht="20.100000000000001" customHeight="1" x14ac:dyDescent="0.25">
      <c r="A118" s="30"/>
      <c r="B118" s="32">
        <v>108</v>
      </c>
      <c r="C118" s="11"/>
      <c r="D118" s="33"/>
      <c r="E118" s="34"/>
      <c r="F118" s="35"/>
      <c r="G118" s="76"/>
      <c r="H118" s="76"/>
      <c r="I118" s="77">
        <f t="shared" si="7"/>
        <v>0</v>
      </c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9"/>
      <c r="V118" s="82">
        <f t="shared" si="8"/>
        <v>0</v>
      </c>
      <c r="W118" s="13" t="str">
        <f t="shared" si="9"/>
        <v>P</v>
      </c>
      <c r="X118" s="36"/>
      <c r="Y118" s="30"/>
    </row>
    <row r="119" spans="1:25" ht="20.100000000000001" customHeight="1" x14ac:dyDescent="0.25">
      <c r="A119" s="30"/>
      <c r="B119" s="32">
        <v>109</v>
      </c>
      <c r="C119" s="11"/>
      <c r="D119" s="33"/>
      <c r="E119" s="34"/>
      <c r="F119" s="35"/>
      <c r="G119" s="76"/>
      <c r="H119" s="76"/>
      <c r="I119" s="77">
        <f t="shared" si="7"/>
        <v>0</v>
      </c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9"/>
      <c r="V119" s="82">
        <f t="shared" si="8"/>
        <v>0</v>
      </c>
      <c r="W119" s="13" t="str">
        <f t="shared" si="9"/>
        <v>P</v>
      </c>
      <c r="X119" s="36"/>
      <c r="Y119" s="30"/>
    </row>
    <row r="120" spans="1:25" ht="20.100000000000001" customHeight="1" x14ac:dyDescent="0.25">
      <c r="A120" s="30"/>
      <c r="B120" s="32">
        <v>110</v>
      </c>
      <c r="C120" s="11"/>
      <c r="D120" s="33"/>
      <c r="E120" s="34"/>
      <c r="F120" s="35"/>
      <c r="G120" s="76"/>
      <c r="H120" s="76"/>
      <c r="I120" s="77">
        <f t="shared" si="7"/>
        <v>0</v>
      </c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9"/>
      <c r="V120" s="82">
        <f t="shared" si="8"/>
        <v>0</v>
      </c>
      <c r="W120" s="13" t="str">
        <f t="shared" si="9"/>
        <v>P</v>
      </c>
      <c r="X120" s="36"/>
      <c r="Y120" s="30"/>
    </row>
    <row r="121" spans="1:25" ht="20.100000000000001" customHeight="1" x14ac:dyDescent="0.25">
      <c r="A121" s="30"/>
      <c r="B121" s="32">
        <v>111</v>
      </c>
      <c r="C121" s="11"/>
      <c r="D121" s="33"/>
      <c r="E121" s="34"/>
      <c r="F121" s="35"/>
      <c r="G121" s="76"/>
      <c r="H121" s="76"/>
      <c r="I121" s="77">
        <f t="shared" si="7"/>
        <v>0</v>
      </c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9"/>
      <c r="V121" s="82">
        <f t="shared" si="8"/>
        <v>0</v>
      </c>
      <c r="W121" s="13" t="str">
        <f t="shared" si="9"/>
        <v>P</v>
      </c>
      <c r="X121" s="36"/>
      <c r="Y121" s="30"/>
    </row>
    <row r="122" spans="1:25" ht="20.100000000000001" customHeight="1" x14ac:dyDescent="0.25">
      <c r="A122" s="30"/>
      <c r="B122" s="32">
        <v>112</v>
      </c>
      <c r="C122" s="11"/>
      <c r="D122" s="33"/>
      <c r="E122" s="34"/>
      <c r="F122" s="35"/>
      <c r="G122" s="76"/>
      <c r="H122" s="76"/>
      <c r="I122" s="77">
        <f t="shared" si="7"/>
        <v>0</v>
      </c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9"/>
      <c r="V122" s="82">
        <f t="shared" si="8"/>
        <v>0</v>
      </c>
      <c r="W122" s="13" t="str">
        <f t="shared" si="9"/>
        <v>P</v>
      </c>
      <c r="X122" s="36"/>
      <c r="Y122" s="30"/>
    </row>
    <row r="123" spans="1:25" ht="20.100000000000001" customHeight="1" x14ac:dyDescent="0.25">
      <c r="A123" s="30"/>
      <c r="B123" s="32">
        <v>113</v>
      </c>
      <c r="C123" s="11"/>
      <c r="D123" s="33"/>
      <c r="E123" s="34"/>
      <c r="F123" s="35"/>
      <c r="G123" s="76"/>
      <c r="H123" s="76"/>
      <c r="I123" s="77">
        <f t="shared" si="7"/>
        <v>0</v>
      </c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9"/>
      <c r="V123" s="82">
        <f t="shared" si="8"/>
        <v>0</v>
      </c>
      <c r="W123" s="13" t="str">
        <f t="shared" si="9"/>
        <v>P</v>
      </c>
      <c r="X123" s="36"/>
      <c r="Y123" s="30"/>
    </row>
    <row r="124" spans="1:25" ht="20.100000000000001" customHeight="1" x14ac:dyDescent="0.25">
      <c r="A124" s="30"/>
      <c r="B124" s="32">
        <v>114</v>
      </c>
      <c r="C124" s="11"/>
      <c r="D124" s="33"/>
      <c r="E124" s="34"/>
      <c r="F124" s="35"/>
      <c r="G124" s="76"/>
      <c r="H124" s="76"/>
      <c r="I124" s="77">
        <f t="shared" si="7"/>
        <v>0</v>
      </c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9"/>
      <c r="V124" s="82">
        <f t="shared" si="8"/>
        <v>0</v>
      </c>
      <c r="W124" s="13" t="str">
        <f t="shared" si="9"/>
        <v>P</v>
      </c>
      <c r="X124" s="36"/>
      <c r="Y124" s="30"/>
    </row>
    <row r="125" spans="1:25" ht="20.100000000000001" customHeight="1" x14ac:dyDescent="0.25">
      <c r="A125" s="30"/>
      <c r="B125" s="32">
        <v>115</v>
      </c>
      <c r="C125" s="11"/>
      <c r="D125" s="33"/>
      <c r="E125" s="34"/>
      <c r="F125" s="35"/>
      <c r="G125" s="76"/>
      <c r="H125" s="76"/>
      <c r="I125" s="77">
        <f t="shared" si="7"/>
        <v>0</v>
      </c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9"/>
      <c r="V125" s="82">
        <f t="shared" si="8"/>
        <v>0</v>
      </c>
      <c r="W125" s="13" t="str">
        <f t="shared" si="9"/>
        <v>P</v>
      </c>
      <c r="X125" s="36"/>
      <c r="Y125" s="30"/>
    </row>
    <row r="126" spans="1:25" ht="20.100000000000001" customHeight="1" x14ac:dyDescent="0.25">
      <c r="A126" s="30"/>
      <c r="B126" s="32">
        <v>116</v>
      </c>
      <c r="C126" s="11"/>
      <c r="D126" s="33"/>
      <c r="E126" s="34"/>
      <c r="F126" s="35"/>
      <c r="G126" s="76"/>
      <c r="H126" s="76"/>
      <c r="I126" s="77">
        <f t="shared" si="7"/>
        <v>0</v>
      </c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9"/>
      <c r="V126" s="82">
        <f t="shared" si="8"/>
        <v>0</v>
      </c>
      <c r="W126" s="13" t="str">
        <f t="shared" si="9"/>
        <v>P</v>
      </c>
      <c r="X126" s="36"/>
      <c r="Y126" s="30"/>
    </row>
    <row r="127" spans="1:25" ht="20.100000000000001" customHeight="1" x14ac:dyDescent="0.25">
      <c r="A127" s="30"/>
      <c r="B127" s="32">
        <v>117</v>
      </c>
      <c r="C127" s="11"/>
      <c r="D127" s="33"/>
      <c r="E127" s="34"/>
      <c r="F127" s="35"/>
      <c r="G127" s="76"/>
      <c r="H127" s="76"/>
      <c r="I127" s="77">
        <f t="shared" si="7"/>
        <v>0</v>
      </c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9"/>
      <c r="V127" s="82">
        <f t="shared" si="8"/>
        <v>0</v>
      </c>
      <c r="W127" s="13" t="str">
        <f t="shared" si="9"/>
        <v>P</v>
      </c>
      <c r="X127" s="36"/>
      <c r="Y127" s="30"/>
    </row>
    <row r="128" spans="1:25" ht="20.100000000000001" customHeight="1" x14ac:dyDescent="0.25">
      <c r="A128" s="30"/>
      <c r="B128" s="32">
        <v>118</v>
      </c>
      <c r="C128" s="11"/>
      <c r="D128" s="33"/>
      <c r="E128" s="34"/>
      <c r="F128" s="35"/>
      <c r="G128" s="76"/>
      <c r="H128" s="76"/>
      <c r="I128" s="77">
        <f t="shared" si="7"/>
        <v>0</v>
      </c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9"/>
      <c r="V128" s="82">
        <f t="shared" si="8"/>
        <v>0</v>
      </c>
      <c r="W128" s="13" t="str">
        <f t="shared" si="9"/>
        <v>P</v>
      </c>
      <c r="X128" s="36"/>
      <c r="Y128" s="30"/>
    </row>
    <row r="129" spans="1:25" ht="20.100000000000001" customHeight="1" x14ac:dyDescent="0.25">
      <c r="A129" s="30"/>
      <c r="B129" s="32">
        <v>119</v>
      </c>
      <c r="C129" s="11"/>
      <c r="D129" s="33"/>
      <c r="E129" s="34"/>
      <c r="F129" s="35"/>
      <c r="G129" s="76"/>
      <c r="H129" s="76"/>
      <c r="I129" s="77">
        <f t="shared" si="7"/>
        <v>0</v>
      </c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9"/>
      <c r="V129" s="82">
        <f t="shared" si="8"/>
        <v>0</v>
      </c>
      <c r="W129" s="13" t="str">
        <f t="shared" si="9"/>
        <v>P</v>
      </c>
      <c r="X129" s="36"/>
      <c r="Y129" s="30"/>
    </row>
    <row r="130" spans="1:25" ht="20.100000000000001" customHeight="1" x14ac:dyDescent="0.25">
      <c r="A130" s="30"/>
      <c r="B130" s="32">
        <v>120</v>
      </c>
      <c r="C130" s="11"/>
      <c r="D130" s="33"/>
      <c r="E130" s="34"/>
      <c r="F130" s="35"/>
      <c r="G130" s="76"/>
      <c r="H130" s="76"/>
      <c r="I130" s="77">
        <f t="shared" si="7"/>
        <v>0</v>
      </c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9"/>
      <c r="V130" s="82">
        <f t="shared" si="8"/>
        <v>0</v>
      </c>
      <c r="W130" s="13" t="str">
        <f t="shared" si="9"/>
        <v>P</v>
      </c>
      <c r="X130" s="36"/>
      <c r="Y130" s="30"/>
    </row>
    <row r="131" spans="1:25" ht="20.100000000000001" customHeight="1" x14ac:dyDescent="0.25">
      <c r="A131" s="30"/>
      <c r="B131" s="32">
        <v>121</v>
      </c>
      <c r="C131" s="11"/>
      <c r="D131" s="33"/>
      <c r="E131" s="34"/>
      <c r="F131" s="35"/>
      <c r="G131" s="76"/>
      <c r="H131" s="76"/>
      <c r="I131" s="77">
        <f t="shared" si="7"/>
        <v>0</v>
      </c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9"/>
      <c r="V131" s="82">
        <f t="shared" si="8"/>
        <v>0</v>
      </c>
      <c r="W131" s="13" t="str">
        <f t="shared" si="9"/>
        <v>P</v>
      </c>
      <c r="X131" s="36"/>
      <c r="Y131" s="30"/>
    </row>
    <row r="132" spans="1:25" ht="20.100000000000001" customHeight="1" x14ac:dyDescent="0.25">
      <c r="A132" s="30"/>
      <c r="B132" s="32">
        <v>122</v>
      </c>
      <c r="C132" s="11"/>
      <c r="D132" s="33"/>
      <c r="E132" s="34"/>
      <c r="F132" s="35"/>
      <c r="G132" s="76"/>
      <c r="H132" s="76"/>
      <c r="I132" s="77">
        <f t="shared" si="7"/>
        <v>0</v>
      </c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9"/>
      <c r="V132" s="82">
        <f t="shared" si="8"/>
        <v>0</v>
      </c>
      <c r="W132" s="13" t="str">
        <f t="shared" si="9"/>
        <v>P</v>
      </c>
      <c r="X132" s="36"/>
      <c r="Y132" s="30"/>
    </row>
    <row r="133" spans="1:25" ht="20.100000000000001" customHeight="1" x14ac:dyDescent="0.25">
      <c r="A133" s="30"/>
      <c r="B133" s="32">
        <v>123</v>
      </c>
      <c r="C133" s="11"/>
      <c r="D133" s="33"/>
      <c r="E133" s="34"/>
      <c r="F133" s="35"/>
      <c r="G133" s="76"/>
      <c r="H133" s="76"/>
      <c r="I133" s="77">
        <f t="shared" si="7"/>
        <v>0</v>
      </c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9"/>
      <c r="V133" s="82">
        <f t="shared" si="8"/>
        <v>0</v>
      </c>
      <c r="W133" s="13" t="str">
        <f t="shared" si="9"/>
        <v>P</v>
      </c>
      <c r="X133" s="36"/>
      <c r="Y133" s="30"/>
    </row>
    <row r="134" spans="1:25" ht="20.100000000000001" customHeight="1" x14ac:dyDescent="0.25">
      <c r="A134" s="30"/>
      <c r="B134" s="32">
        <v>124</v>
      </c>
      <c r="C134" s="11"/>
      <c r="D134" s="33"/>
      <c r="E134" s="34"/>
      <c r="F134" s="35"/>
      <c r="G134" s="76"/>
      <c r="H134" s="76"/>
      <c r="I134" s="77">
        <f t="shared" si="7"/>
        <v>0</v>
      </c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9"/>
      <c r="V134" s="82">
        <f t="shared" si="8"/>
        <v>0</v>
      </c>
      <c r="W134" s="13" t="str">
        <f t="shared" si="9"/>
        <v>P</v>
      </c>
      <c r="X134" s="36"/>
      <c r="Y134" s="30"/>
    </row>
    <row r="135" spans="1:25" ht="20.100000000000001" customHeight="1" x14ac:dyDescent="0.25">
      <c r="A135" s="30"/>
      <c r="B135" s="32">
        <v>125</v>
      </c>
      <c r="C135" s="11"/>
      <c r="D135" s="33"/>
      <c r="E135" s="34"/>
      <c r="F135" s="35"/>
      <c r="G135" s="76"/>
      <c r="H135" s="76"/>
      <c r="I135" s="77">
        <f t="shared" si="7"/>
        <v>0</v>
      </c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9"/>
      <c r="V135" s="82">
        <f t="shared" si="8"/>
        <v>0</v>
      </c>
      <c r="W135" s="13" t="str">
        <f t="shared" si="9"/>
        <v>P</v>
      </c>
      <c r="X135" s="36"/>
      <c r="Y135" s="30"/>
    </row>
    <row r="136" spans="1:25" ht="20.100000000000001" customHeight="1" x14ac:dyDescent="0.25">
      <c r="A136" s="30"/>
      <c r="B136" s="32">
        <v>126</v>
      </c>
      <c r="C136" s="11"/>
      <c r="D136" s="33"/>
      <c r="E136" s="34"/>
      <c r="F136" s="35"/>
      <c r="G136" s="76"/>
      <c r="H136" s="76"/>
      <c r="I136" s="77">
        <f t="shared" si="7"/>
        <v>0</v>
      </c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9"/>
      <c r="V136" s="82">
        <f t="shared" si="8"/>
        <v>0</v>
      </c>
      <c r="W136" s="13" t="str">
        <f t="shared" si="9"/>
        <v>P</v>
      </c>
      <c r="X136" s="36"/>
      <c r="Y136" s="30"/>
    </row>
    <row r="137" spans="1:25" ht="20.100000000000001" customHeight="1" x14ac:dyDescent="0.25">
      <c r="A137" s="30"/>
      <c r="B137" s="32">
        <v>127</v>
      </c>
      <c r="C137" s="11"/>
      <c r="D137" s="33"/>
      <c r="E137" s="34"/>
      <c r="F137" s="35"/>
      <c r="G137" s="76"/>
      <c r="H137" s="76"/>
      <c r="I137" s="77">
        <f t="shared" si="7"/>
        <v>0</v>
      </c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9"/>
      <c r="V137" s="82">
        <f t="shared" si="8"/>
        <v>0</v>
      </c>
      <c r="W137" s="13" t="str">
        <f t="shared" si="9"/>
        <v>P</v>
      </c>
      <c r="X137" s="36"/>
      <c r="Y137" s="30"/>
    </row>
    <row r="138" spans="1:25" ht="20.100000000000001" customHeight="1" x14ac:dyDescent="0.25">
      <c r="A138" s="30"/>
      <c r="B138" s="32">
        <v>128</v>
      </c>
      <c r="C138" s="11"/>
      <c r="D138" s="33"/>
      <c r="E138" s="34"/>
      <c r="F138" s="35"/>
      <c r="G138" s="76"/>
      <c r="H138" s="76"/>
      <c r="I138" s="77">
        <f t="shared" si="7"/>
        <v>0</v>
      </c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9"/>
      <c r="V138" s="82">
        <f t="shared" si="8"/>
        <v>0</v>
      </c>
      <c r="W138" s="13" t="str">
        <f t="shared" si="9"/>
        <v>P</v>
      </c>
      <c r="X138" s="36"/>
      <c r="Y138" s="30"/>
    </row>
    <row r="139" spans="1:25" ht="20.100000000000001" customHeight="1" x14ac:dyDescent="0.25">
      <c r="A139" s="30"/>
      <c r="B139" s="32">
        <v>129</v>
      </c>
      <c r="C139" s="11"/>
      <c r="D139" s="33"/>
      <c r="E139" s="34"/>
      <c r="F139" s="35"/>
      <c r="G139" s="76"/>
      <c r="H139" s="76"/>
      <c r="I139" s="77">
        <f t="shared" si="7"/>
        <v>0</v>
      </c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9"/>
      <c r="V139" s="82">
        <f t="shared" ref="V139:V143" si="10">SUM(J139:U139)</f>
        <v>0</v>
      </c>
      <c r="W139" s="13" t="str">
        <f t="shared" ref="W139:W143" si="11">IF(I139=V139,"P","O")</f>
        <v>P</v>
      </c>
      <c r="X139" s="36"/>
      <c r="Y139" s="30"/>
    </row>
    <row r="140" spans="1:25" ht="20.100000000000001" customHeight="1" x14ac:dyDescent="0.25">
      <c r="A140" s="30"/>
      <c r="B140" s="32">
        <v>130</v>
      </c>
      <c r="C140" s="11"/>
      <c r="D140" s="33"/>
      <c r="E140" s="34"/>
      <c r="F140" s="35"/>
      <c r="G140" s="76"/>
      <c r="H140" s="76"/>
      <c r="I140" s="77">
        <f t="shared" ref="I140:I143" si="12">G140*H140</f>
        <v>0</v>
      </c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9"/>
      <c r="V140" s="82">
        <f t="shared" si="10"/>
        <v>0</v>
      </c>
      <c r="W140" s="13" t="str">
        <f t="shared" si="11"/>
        <v>P</v>
      </c>
      <c r="X140" s="36"/>
      <c r="Y140" s="30"/>
    </row>
    <row r="141" spans="1:25" ht="20.100000000000001" customHeight="1" x14ac:dyDescent="0.25">
      <c r="A141" s="30"/>
      <c r="B141" s="32">
        <v>131</v>
      </c>
      <c r="C141" s="11"/>
      <c r="D141" s="33"/>
      <c r="E141" s="34"/>
      <c r="F141" s="35"/>
      <c r="G141" s="76"/>
      <c r="H141" s="76"/>
      <c r="I141" s="77">
        <f t="shared" si="12"/>
        <v>0</v>
      </c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9"/>
      <c r="V141" s="82">
        <f t="shared" si="10"/>
        <v>0</v>
      </c>
      <c r="W141" s="13" t="str">
        <f t="shared" si="11"/>
        <v>P</v>
      </c>
      <c r="X141" s="36"/>
      <c r="Y141" s="30"/>
    </row>
    <row r="142" spans="1:25" ht="20.100000000000001" customHeight="1" x14ac:dyDescent="0.25">
      <c r="A142" s="30"/>
      <c r="B142" s="32">
        <v>132</v>
      </c>
      <c r="C142" s="11"/>
      <c r="D142" s="33"/>
      <c r="E142" s="34"/>
      <c r="F142" s="35"/>
      <c r="G142" s="76"/>
      <c r="H142" s="76"/>
      <c r="I142" s="77">
        <f t="shared" si="12"/>
        <v>0</v>
      </c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9"/>
      <c r="V142" s="82">
        <f t="shared" si="10"/>
        <v>0</v>
      </c>
      <c r="W142" s="13" t="str">
        <f t="shared" si="11"/>
        <v>P</v>
      </c>
      <c r="X142" s="36"/>
      <c r="Y142" s="30"/>
    </row>
    <row r="143" spans="1:25" ht="20.100000000000001" customHeight="1" x14ac:dyDescent="0.25">
      <c r="A143" s="30"/>
      <c r="B143" s="32">
        <v>133</v>
      </c>
      <c r="C143" s="11"/>
      <c r="D143" s="33"/>
      <c r="E143" s="34"/>
      <c r="F143" s="35"/>
      <c r="G143" s="76"/>
      <c r="H143" s="76"/>
      <c r="I143" s="77">
        <f t="shared" si="12"/>
        <v>0</v>
      </c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9"/>
      <c r="V143" s="82">
        <f t="shared" si="10"/>
        <v>0</v>
      </c>
      <c r="W143" s="13" t="str">
        <f t="shared" si="11"/>
        <v>P</v>
      </c>
      <c r="X143" s="36"/>
      <c r="Y143" s="30"/>
    </row>
    <row r="144" spans="1:25" ht="20.100000000000001" customHeight="1" x14ac:dyDescent="0.25">
      <c r="A144" s="31"/>
      <c r="B144" s="32">
        <v>134</v>
      </c>
      <c r="C144" s="11"/>
      <c r="D144" s="33"/>
      <c r="E144" s="34"/>
      <c r="F144" s="35"/>
      <c r="G144" s="76"/>
      <c r="H144" s="76"/>
      <c r="I144" s="77">
        <f t="shared" ref="I144:I207" si="13">G144*H144</f>
        <v>0</v>
      </c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9"/>
      <c r="V144" s="82">
        <f t="shared" ref="V144:V207" si="14">SUM(J144:U144)</f>
        <v>0</v>
      </c>
      <c r="W144" s="13" t="str">
        <f t="shared" ref="W144:W207" si="15">IF(I144=V144,"P","O")</f>
        <v>P</v>
      </c>
      <c r="X144" s="36"/>
      <c r="Y144" s="31"/>
    </row>
    <row r="145" spans="1:25" ht="20.100000000000001" customHeight="1" x14ac:dyDescent="0.25">
      <c r="A145" s="31"/>
      <c r="B145" s="32">
        <v>135</v>
      </c>
      <c r="C145" s="11"/>
      <c r="D145" s="33"/>
      <c r="E145" s="34"/>
      <c r="F145" s="35"/>
      <c r="G145" s="76"/>
      <c r="H145" s="76"/>
      <c r="I145" s="77">
        <f t="shared" si="13"/>
        <v>0</v>
      </c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9"/>
      <c r="V145" s="82">
        <f t="shared" si="14"/>
        <v>0</v>
      </c>
      <c r="W145" s="13" t="str">
        <f t="shared" si="15"/>
        <v>P</v>
      </c>
      <c r="X145" s="36"/>
      <c r="Y145" s="31"/>
    </row>
    <row r="146" spans="1:25" ht="20.100000000000001" customHeight="1" x14ac:dyDescent="0.25">
      <c r="A146" s="31"/>
      <c r="B146" s="32">
        <v>136</v>
      </c>
      <c r="C146" s="11"/>
      <c r="D146" s="33"/>
      <c r="E146" s="34"/>
      <c r="F146" s="35"/>
      <c r="G146" s="76"/>
      <c r="H146" s="76"/>
      <c r="I146" s="77">
        <f t="shared" si="13"/>
        <v>0</v>
      </c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9"/>
      <c r="V146" s="82">
        <f t="shared" si="14"/>
        <v>0</v>
      </c>
      <c r="W146" s="13" t="str">
        <f t="shared" si="15"/>
        <v>P</v>
      </c>
      <c r="X146" s="36"/>
      <c r="Y146" s="31"/>
    </row>
    <row r="147" spans="1:25" ht="20.100000000000001" customHeight="1" x14ac:dyDescent="0.25">
      <c r="A147" s="31"/>
      <c r="B147" s="32">
        <v>137</v>
      </c>
      <c r="C147" s="11"/>
      <c r="D147" s="33"/>
      <c r="E147" s="34"/>
      <c r="F147" s="35"/>
      <c r="G147" s="76"/>
      <c r="H147" s="76"/>
      <c r="I147" s="77">
        <f t="shared" si="13"/>
        <v>0</v>
      </c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9"/>
      <c r="V147" s="82">
        <f t="shared" si="14"/>
        <v>0</v>
      </c>
      <c r="W147" s="13" t="str">
        <f t="shared" si="15"/>
        <v>P</v>
      </c>
      <c r="X147" s="36"/>
      <c r="Y147" s="31"/>
    </row>
    <row r="148" spans="1:25" ht="20.100000000000001" customHeight="1" x14ac:dyDescent="0.25">
      <c r="A148" s="31"/>
      <c r="B148" s="32">
        <v>138</v>
      </c>
      <c r="C148" s="11"/>
      <c r="D148" s="33"/>
      <c r="E148" s="34"/>
      <c r="F148" s="35"/>
      <c r="G148" s="76"/>
      <c r="H148" s="76"/>
      <c r="I148" s="77">
        <f t="shared" si="13"/>
        <v>0</v>
      </c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9"/>
      <c r="V148" s="82">
        <f t="shared" si="14"/>
        <v>0</v>
      </c>
      <c r="W148" s="13" t="str">
        <f t="shared" si="15"/>
        <v>P</v>
      </c>
      <c r="X148" s="36"/>
      <c r="Y148" s="31"/>
    </row>
    <row r="149" spans="1:25" ht="20.100000000000001" customHeight="1" x14ac:dyDescent="0.25">
      <c r="A149" s="31"/>
      <c r="B149" s="32">
        <v>139</v>
      </c>
      <c r="C149" s="11"/>
      <c r="D149" s="33"/>
      <c r="E149" s="34"/>
      <c r="F149" s="35"/>
      <c r="G149" s="76"/>
      <c r="H149" s="76"/>
      <c r="I149" s="77">
        <f t="shared" si="13"/>
        <v>0</v>
      </c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9"/>
      <c r="V149" s="82">
        <f t="shared" si="14"/>
        <v>0</v>
      </c>
      <c r="W149" s="13" t="str">
        <f t="shared" si="15"/>
        <v>P</v>
      </c>
      <c r="X149" s="36"/>
      <c r="Y149" s="31"/>
    </row>
    <row r="150" spans="1:25" ht="20.100000000000001" customHeight="1" x14ac:dyDescent="0.25">
      <c r="A150" s="31"/>
      <c r="B150" s="32">
        <v>140</v>
      </c>
      <c r="C150" s="11"/>
      <c r="D150" s="33"/>
      <c r="E150" s="34"/>
      <c r="F150" s="35"/>
      <c r="G150" s="76"/>
      <c r="H150" s="76"/>
      <c r="I150" s="77">
        <f t="shared" si="13"/>
        <v>0</v>
      </c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9"/>
      <c r="V150" s="82">
        <f t="shared" si="14"/>
        <v>0</v>
      </c>
      <c r="W150" s="13" t="str">
        <f t="shared" si="15"/>
        <v>P</v>
      </c>
      <c r="X150" s="36"/>
      <c r="Y150" s="31"/>
    </row>
    <row r="151" spans="1:25" ht="20.100000000000001" customHeight="1" x14ac:dyDescent="0.25">
      <c r="A151" s="31"/>
      <c r="B151" s="32">
        <v>141</v>
      </c>
      <c r="C151" s="11"/>
      <c r="D151" s="33"/>
      <c r="E151" s="34"/>
      <c r="F151" s="35"/>
      <c r="G151" s="76"/>
      <c r="H151" s="76"/>
      <c r="I151" s="77">
        <f t="shared" si="13"/>
        <v>0</v>
      </c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9"/>
      <c r="V151" s="82">
        <f t="shared" si="14"/>
        <v>0</v>
      </c>
      <c r="W151" s="13" t="str">
        <f t="shared" si="15"/>
        <v>P</v>
      </c>
      <c r="X151" s="36"/>
      <c r="Y151" s="31"/>
    </row>
    <row r="152" spans="1:25" ht="20.100000000000001" customHeight="1" x14ac:dyDescent="0.25">
      <c r="A152" s="31"/>
      <c r="B152" s="32">
        <v>142</v>
      </c>
      <c r="C152" s="11"/>
      <c r="D152" s="33"/>
      <c r="E152" s="34"/>
      <c r="F152" s="35"/>
      <c r="G152" s="76"/>
      <c r="H152" s="76"/>
      <c r="I152" s="77">
        <f t="shared" si="13"/>
        <v>0</v>
      </c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9"/>
      <c r="V152" s="82">
        <f t="shared" si="14"/>
        <v>0</v>
      </c>
      <c r="W152" s="13" t="str">
        <f t="shared" si="15"/>
        <v>P</v>
      </c>
      <c r="X152" s="36"/>
      <c r="Y152" s="31"/>
    </row>
    <row r="153" spans="1:25" ht="20.100000000000001" customHeight="1" x14ac:dyDescent="0.25">
      <c r="A153" s="31"/>
      <c r="B153" s="32">
        <v>143</v>
      </c>
      <c r="C153" s="11"/>
      <c r="D153" s="33"/>
      <c r="E153" s="34"/>
      <c r="F153" s="35"/>
      <c r="G153" s="76"/>
      <c r="H153" s="76"/>
      <c r="I153" s="77">
        <f t="shared" si="13"/>
        <v>0</v>
      </c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9"/>
      <c r="V153" s="82">
        <f t="shared" si="14"/>
        <v>0</v>
      </c>
      <c r="W153" s="13" t="str">
        <f t="shared" si="15"/>
        <v>P</v>
      </c>
      <c r="X153" s="36"/>
      <c r="Y153" s="31"/>
    </row>
    <row r="154" spans="1:25" ht="20.100000000000001" customHeight="1" x14ac:dyDescent="0.25">
      <c r="A154" s="31"/>
      <c r="B154" s="32">
        <v>144</v>
      </c>
      <c r="C154" s="11"/>
      <c r="D154" s="33"/>
      <c r="E154" s="34"/>
      <c r="F154" s="35"/>
      <c r="G154" s="76"/>
      <c r="H154" s="76"/>
      <c r="I154" s="77">
        <f t="shared" si="13"/>
        <v>0</v>
      </c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9"/>
      <c r="V154" s="82">
        <f t="shared" si="14"/>
        <v>0</v>
      </c>
      <c r="W154" s="13" t="str">
        <f t="shared" si="15"/>
        <v>P</v>
      </c>
      <c r="X154" s="36"/>
      <c r="Y154" s="31"/>
    </row>
    <row r="155" spans="1:25" ht="20.100000000000001" customHeight="1" x14ac:dyDescent="0.25">
      <c r="A155" s="31"/>
      <c r="B155" s="32">
        <v>145</v>
      </c>
      <c r="C155" s="11"/>
      <c r="D155" s="33"/>
      <c r="E155" s="34"/>
      <c r="F155" s="35"/>
      <c r="G155" s="76"/>
      <c r="H155" s="76"/>
      <c r="I155" s="77">
        <f t="shared" si="13"/>
        <v>0</v>
      </c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9"/>
      <c r="V155" s="82">
        <f t="shared" si="14"/>
        <v>0</v>
      </c>
      <c r="W155" s="13" t="str">
        <f t="shared" si="15"/>
        <v>P</v>
      </c>
      <c r="X155" s="36"/>
      <c r="Y155" s="31"/>
    </row>
    <row r="156" spans="1:25" ht="20.100000000000001" customHeight="1" x14ac:dyDescent="0.25">
      <c r="A156" s="31"/>
      <c r="B156" s="32">
        <v>146</v>
      </c>
      <c r="C156" s="11"/>
      <c r="D156" s="33"/>
      <c r="E156" s="34"/>
      <c r="F156" s="35"/>
      <c r="G156" s="76"/>
      <c r="H156" s="76"/>
      <c r="I156" s="77">
        <f t="shared" si="13"/>
        <v>0</v>
      </c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9"/>
      <c r="V156" s="82">
        <f t="shared" si="14"/>
        <v>0</v>
      </c>
      <c r="W156" s="13" t="str">
        <f t="shared" si="15"/>
        <v>P</v>
      </c>
      <c r="X156" s="36"/>
      <c r="Y156" s="31"/>
    </row>
    <row r="157" spans="1:25" ht="20.100000000000001" customHeight="1" x14ac:dyDescent="0.25">
      <c r="A157" s="31"/>
      <c r="B157" s="32">
        <v>147</v>
      </c>
      <c r="C157" s="11"/>
      <c r="D157" s="33"/>
      <c r="E157" s="34"/>
      <c r="F157" s="35"/>
      <c r="G157" s="76"/>
      <c r="H157" s="76"/>
      <c r="I157" s="77">
        <f t="shared" si="13"/>
        <v>0</v>
      </c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9"/>
      <c r="V157" s="82">
        <f t="shared" si="14"/>
        <v>0</v>
      </c>
      <c r="W157" s="13" t="str">
        <f t="shared" si="15"/>
        <v>P</v>
      </c>
      <c r="X157" s="36"/>
      <c r="Y157" s="31"/>
    </row>
    <row r="158" spans="1:25" ht="20.100000000000001" customHeight="1" x14ac:dyDescent="0.25">
      <c r="A158" s="31"/>
      <c r="B158" s="32">
        <v>148</v>
      </c>
      <c r="C158" s="11"/>
      <c r="D158" s="33"/>
      <c r="E158" s="34"/>
      <c r="F158" s="35"/>
      <c r="G158" s="76"/>
      <c r="H158" s="76"/>
      <c r="I158" s="77">
        <f t="shared" si="13"/>
        <v>0</v>
      </c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9"/>
      <c r="V158" s="82">
        <f t="shared" si="14"/>
        <v>0</v>
      </c>
      <c r="W158" s="13" t="str">
        <f t="shared" si="15"/>
        <v>P</v>
      </c>
      <c r="X158" s="36"/>
      <c r="Y158" s="31"/>
    </row>
    <row r="159" spans="1:25" ht="20.100000000000001" customHeight="1" x14ac:dyDescent="0.25">
      <c r="A159" s="31"/>
      <c r="B159" s="32">
        <v>149</v>
      </c>
      <c r="C159" s="11"/>
      <c r="D159" s="33"/>
      <c r="E159" s="34"/>
      <c r="F159" s="35"/>
      <c r="G159" s="76"/>
      <c r="H159" s="76"/>
      <c r="I159" s="77">
        <f t="shared" si="13"/>
        <v>0</v>
      </c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9"/>
      <c r="V159" s="82">
        <f t="shared" si="14"/>
        <v>0</v>
      </c>
      <c r="W159" s="13" t="str">
        <f t="shared" si="15"/>
        <v>P</v>
      </c>
      <c r="X159" s="36"/>
      <c r="Y159" s="31"/>
    </row>
    <row r="160" spans="1:25" ht="20.100000000000001" customHeight="1" x14ac:dyDescent="0.25">
      <c r="A160" s="31"/>
      <c r="B160" s="32">
        <v>150</v>
      </c>
      <c r="C160" s="11"/>
      <c r="D160" s="33"/>
      <c r="E160" s="34"/>
      <c r="F160" s="35"/>
      <c r="G160" s="76"/>
      <c r="H160" s="76"/>
      <c r="I160" s="77">
        <f t="shared" si="13"/>
        <v>0</v>
      </c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9"/>
      <c r="V160" s="82">
        <f t="shared" si="14"/>
        <v>0</v>
      </c>
      <c r="W160" s="13" t="str">
        <f t="shared" si="15"/>
        <v>P</v>
      </c>
      <c r="X160" s="36"/>
      <c r="Y160" s="31"/>
    </row>
    <row r="161" spans="1:25" ht="20.100000000000001" customHeight="1" x14ac:dyDescent="0.25">
      <c r="A161" s="31"/>
      <c r="B161" s="32">
        <v>151</v>
      </c>
      <c r="C161" s="11"/>
      <c r="D161" s="33"/>
      <c r="E161" s="34"/>
      <c r="F161" s="35"/>
      <c r="G161" s="76"/>
      <c r="H161" s="76"/>
      <c r="I161" s="77">
        <f t="shared" si="13"/>
        <v>0</v>
      </c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9"/>
      <c r="V161" s="82">
        <f t="shared" si="14"/>
        <v>0</v>
      </c>
      <c r="W161" s="13" t="str">
        <f t="shared" si="15"/>
        <v>P</v>
      </c>
      <c r="X161" s="36"/>
      <c r="Y161" s="31"/>
    </row>
    <row r="162" spans="1:25" ht="20.100000000000001" customHeight="1" x14ac:dyDescent="0.25">
      <c r="A162" s="31"/>
      <c r="B162" s="32">
        <v>152</v>
      </c>
      <c r="C162" s="11"/>
      <c r="D162" s="33"/>
      <c r="E162" s="34"/>
      <c r="F162" s="35"/>
      <c r="G162" s="76"/>
      <c r="H162" s="76"/>
      <c r="I162" s="77">
        <f t="shared" si="13"/>
        <v>0</v>
      </c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9"/>
      <c r="V162" s="82">
        <f t="shared" si="14"/>
        <v>0</v>
      </c>
      <c r="W162" s="13" t="str">
        <f t="shared" si="15"/>
        <v>P</v>
      </c>
      <c r="X162" s="36"/>
      <c r="Y162" s="31"/>
    </row>
    <row r="163" spans="1:25" ht="20.100000000000001" customHeight="1" x14ac:dyDescent="0.25">
      <c r="A163" s="31"/>
      <c r="B163" s="32">
        <v>153</v>
      </c>
      <c r="C163" s="11"/>
      <c r="D163" s="33"/>
      <c r="E163" s="34"/>
      <c r="F163" s="35"/>
      <c r="G163" s="76"/>
      <c r="H163" s="76"/>
      <c r="I163" s="77">
        <f t="shared" si="13"/>
        <v>0</v>
      </c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9"/>
      <c r="V163" s="82">
        <f t="shared" si="14"/>
        <v>0</v>
      </c>
      <c r="W163" s="13" t="str">
        <f t="shared" si="15"/>
        <v>P</v>
      </c>
      <c r="X163" s="36"/>
      <c r="Y163" s="31"/>
    </row>
    <row r="164" spans="1:25" ht="20.100000000000001" customHeight="1" x14ac:dyDescent="0.25">
      <c r="A164" s="31"/>
      <c r="B164" s="32">
        <v>154</v>
      </c>
      <c r="C164" s="11"/>
      <c r="D164" s="33"/>
      <c r="E164" s="34"/>
      <c r="F164" s="35"/>
      <c r="G164" s="76"/>
      <c r="H164" s="76"/>
      <c r="I164" s="77">
        <f t="shared" si="13"/>
        <v>0</v>
      </c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9"/>
      <c r="V164" s="82">
        <f t="shared" si="14"/>
        <v>0</v>
      </c>
      <c r="W164" s="13" t="str">
        <f t="shared" si="15"/>
        <v>P</v>
      </c>
      <c r="X164" s="36"/>
      <c r="Y164" s="31"/>
    </row>
    <row r="165" spans="1:25" ht="20.100000000000001" customHeight="1" x14ac:dyDescent="0.25">
      <c r="B165" s="32">
        <v>155</v>
      </c>
      <c r="C165" s="11"/>
      <c r="D165" s="33"/>
      <c r="E165" s="34"/>
      <c r="F165" s="35"/>
      <c r="G165" s="76"/>
      <c r="H165" s="76"/>
      <c r="I165" s="77">
        <f t="shared" si="13"/>
        <v>0</v>
      </c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9"/>
      <c r="V165" s="82">
        <f t="shared" si="14"/>
        <v>0</v>
      </c>
      <c r="W165" s="13" t="str">
        <f t="shared" si="15"/>
        <v>P</v>
      </c>
      <c r="X165" s="36"/>
    </row>
    <row r="166" spans="1:25" ht="20.100000000000001" customHeight="1" x14ac:dyDescent="0.25">
      <c r="B166" s="32">
        <v>156</v>
      </c>
      <c r="C166" s="11"/>
      <c r="D166" s="33"/>
      <c r="E166" s="34"/>
      <c r="F166" s="35"/>
      <c r="G166" s="76"/>
      <c r="H166" s="76"/>
      <c r="I166" s="77">
        <f t="shared" si="13"/>
        <v>0</v>
      </c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9"/>
      <c r="V166" s="82">
        <f t="shared" si="14"/>
        <v>0</v>
      </c>
      <c r="W166" s="13" t="str">
        <f t="shared" si="15"/>
        <v>P</v>
      </c>
      <c r="X166" s="36"/>
    </row>
    <row r="167" spans="1:25" ht="20.100000000000001" customHeight="1" x14ac:dyDescent="0.25">
      <c r="B167" s="32">
        <v>157</v>
      </c>
      <c r="C167" s="11"/>
      <c r="D167" s="33"/>
      <c r="E167" s="34"/>
      <c r="F167" s="35"/>
      <c r="G167" s="76"/>
      <c r="H167" s="76"/>
      <c r="I167" s="77">
        <f t="shared" si="13"/>
        <v>0</v>
      </c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9"/>
      <c r="V167" s="82">
        <f t="shared" si="14"/>
        <v>0</v>
      </c>
      <c r="W167" s="13" t="str">
        <f t="shared" si="15"/>
        <v>P</v>
      </c>
      <c r="X167" s="36"/>
    </row>
    <row r="168" spans="1:25" ht="20.100000000000001" customHeight="1" x14ac:dyDescent="0.25">
      <c r="B168" s="32">
        <v>158</v>
      </c>
      <c r="C168" s="11"/>
      <c r="D168" s="33"/>
      <c r="E168" s="34"/>
      <c r="F168" s="35"/>
      <c r="G168" s="76"/>
      <c r="H168" s="76"/>
      <c r="I168" s="77">
        <f t="shared" si="13"/>
        <v>0</v>
      </c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9"/>
      <c r="V168" s="82">
        <f t="shared" si="14"/>
        <v>0</v>
      </c>
      <c r="W168" s="13" t="str">
        <f t="shared" si="15"/>
        <v>P</v>
      </c>
      <c r="X168" s="36"/>
    </row>
    <row r="169" spans="1:25" ht="20.100000000000001" customHeight="1" x14ac:dyDescent="0.25">
      <c r="B169" s="32">
        <v>159</v>
      </c>
      <c r="C169" s="11"/>
      <c r="D169" s="33"/>
      <c r="E169" s="34"/>
      <c r="F169" s="35"/>
      <c r="G169" s="76"/>
      <c r="H169" s="76"/>
      <c r="I169" s="77">
        <f t="shared" si="13"/>
        <v>0</v>
      </c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9"/>
      <c r="V169" s="82">
        <f t="shared" si="14"/>
        <v>0</v>
      </c>
      <c r="W169" s="13" t="str">
        <f t="shared" si="15"/>
        <v>P</v>
      </c>
      <c r="X169" s="36"/>
    </row>
    <row r="170" spans="1:25" ht="20.100000000000001" customHeight="1" x14ac:dyDescent="0.25">
      <c r="B170" s="32">
        <v>160</v>
      </c>
      <c r="C170" s="11"/>
      <c r="D170" s="33"/>
      <c r="E170" s="34"/>
      <c r="F170" s="35"/>
      <c r="G170" s="76"/>
      <c r="H170" s="76"/>
      <c r="I170" s="77">
        <f t="shared" si="13"/>
        <v>0</v>
      </c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9"/>
      <c r="V170" s="82">
        <f t="shared" si="14"/>
        <v>0</v>
      </c>
      <c r="W170" s="13" t="str">
        <f t="shared" si="15"/>
        <v>P</v>
      </c>
      <c r="X170" s="36"/>
    </row>
    <row r="171" spans="1:25" ht="20.100000000000001" customHeight="1" x14ac:dyDescent="0.25">
      <c r="B171" s="32">
        <v>161</v>
      </c>
      <c r="C171" s="11"/>
      <c r="D171" s="33"/>
      <c r="E171" s="34"/>
      <c r="F171" s="35"/>
      <c r="G171" s="76"/>
      <c r="H171" s="76"/>
      <c r="I171" s="77">
        <f t="shared" si="13"/>
        <v>0</v>
      </c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9"/>
      <c r="V171" s="82">
        <f t="shared" si="14"/>
        <v>0</v>
      </c>
      <c r="W171" s="13" t="str">
        <f t="shared" si="15"/>
        <v>P</v>
      </c>
      <c r="X171" s="36"/>
    </row>
    <row r="172" spans="1:25" ht="20.100000000000001" customHeight="1" x14ac:dyDescent="0.25">
      <c r="B172" s="32">
        <v>162</v>
      </c>
      <c r="C172" s="11"/>
      <c r="D172" s="33"/>
      <c r="E172" s="34"/>
      <c r="F172" s="35"/>
      <c r="G172" s="76"/>
      <c r="H172" s="76"/>
      <c r="I172" s="77">
        <f t="shared" si="13"/>
        <v>0</v>
      </c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9"/>
      <c r="V172" s="82">
        <f t="shared" si="14"/>
        <v>0</v>
      </c>
      <c r="W172" s="13" t="str">
        <f t="shared" si="15"/>
        <v>P</v>
      </c>
      <c r="X172" s="36"/>
    </row>
    <row r="173" spans="1:25" ht="20.100000000000001" customHeight="1" x14ac:dyDescent="0.25">
      <c r="B173" s="32">
        <v>163</v>
      </c>
      <c r="C173" s="11"/>
      <c r="D173" s="33"/>
      <c r="E173" s="34"/>
      <c r="F173" s="35"/>
      <c r="G173" s="76"/>
      <c r="H173" s="76"/>
      <c r="I173" s="77">
        <f t="shared" si="13"/>
        <v>0</v>
      </c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9"/>
      <c r="V173" s="82">
        <f t="shared" si="14"/>
        <v>0</v>
      </c>
      <c r="W173" s="13" t="str">
        <f t="shared" si="15"/>
        <v>P</v>
      </c>
      <c r="X173" s="36"/>
    </row>
    <row r="174" spans="1:25" ht="20.100000000000001" customHeight="1" x14ac:dyDescent="0.25">
      <c r="B174" s="32">
        <v>164</v>
      </c>
      <c r="C174" s="11"/>
      <c r="D174" s="33"/>
      <c r="E174" s="34"/>
      <c r="F174" s="35"/>
      <c r="G174" s="76"/>
      <c r="H174" s="76"/>
      <c r="I174" s="77">
        <f t="shared" si="13"/>
        <v>0</v>
      </c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9"/>
      <c r="V174" s="82">
        <f t="shared" si="14"/>
        <v>0</v>
      </c>
      <c r="W174" s="13" t="str">
        <f t="shared" si="15"/>
        <v>P</v>
      </c>
      <c r="X174" s="36"/>
    </row>
    <row r="175" spans="1:25" ht="20.100000000000001" customHeight="1" x14ac:dyDescent="0.25">
      <c r="B175" s="32">
        <v>165</v>
      </c>
      <c r="C175" s="11"/>
      <c r="D175" s="33"/>
      <c r="E175" s="34"/>
      <c r="F175" s="35"/>
      <c r="G175" s="76"/>
      <c r="H175" s="76"/>
      <c r="I175" s="77">
        <f t="shared" si="13"/>
        <v>0</v>
      </c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9"/>
      <c r="V175" s="82">
        <f t="shared" si="14"/>
        <v>0</v>
      </c>
      <c r="W175" s="13" t="str">
        <f t="shared" si="15"/>
        <v>P</v>
      </c>
      <c r="X175" s="36"/>
    </row>
    <row r="176" spans="1:25" ht="20.100000000000001" customHeight="1" x14ac:dyDescent="0.25">
      <c r="B176" s="32">
        <v>166</v>
      </c>
      <c r="C176" s="11"/>
      <c r="D176" s="33"/>
      <c r="E176" s="34"/>
      <c r="F176" s="35"/>
      <c r="G176" s="76"/>
      <c r="H176" s="76"/>
      <c r="I176" s="77">
        <f t="shared" si="13"/>
        <v>0</v>
      </c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9"/>
      <c r="V176" s="82">
        <f t="shared" si="14"/>
        <v>0</v>
      </c>
      <c r="W176" s="13" t="str">
        <f t="shared" si="15"/>
        <v>P</v>
      </c>
      <c r="X176" s="36"/>
    </row>
    <row r="177" spans="2:24" ht="20.100000000000001" customHeight="1" x14ac:dyDescent="0.25">
      <c r="B177" s="32">
        <v>167</v>
      </c>
      <c r="C177" s="11"/>
      <c r="D177" s="33"/>
      <c r="E177" s="34"/>
      <c r="F177" s="35"/>
      <c r="G177" s="76"/>
      <c r="H177" s="76"/>
      <c r="I177" s="77">
        <f t="shared" si="13"/>
        <v>0</v>
      </c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9"/>
      <c r="V177" s="82">
        <f t="shared" si="14"/>
        <v>0</v>
      </c>
      <c r="W177" s="13" t="str">
        <f t="shared" si="15"/>
        <v>P</v>
      </c>
      <c r="X177" s="36"/>
    </row>
    <row r="178" spans="2:24" ht="20.100000000000001" customHeight="1" x14ac:dyDescent="0.25">
      <c r="B178" s="32">
        <v>168</v>
      </c>
      <c r="C178" s="11"/>
      <c r="D178" s="33"/>
      <c r="E178" s="34"/>
      <c r="F178" s="35"/>
      <c r="G178" s="76"/>
      <c r="H178" s="76"/>
      <c r="I178" s="77">
        <f t="shared" si="13"/>
        <v>0</v>
      </c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9"/>
      <c r="V178" s="82">
        <f t="shared" si="14"/>
        <v>0</v>
      </c>
      <c r="W178" s="13" t="str">
        <f t="shared" si="15"/>
        <v>P</v>
      </c>
      <c r="X178" s="36"/>
    </row>
    <row r="179" spans="2:24" ht="20.100000000000001" customHeight="1" x14ac:dyDescent="0.25">
      <c r="B179" s="32">
        <v>169</v>
      </c>
      <c r="C179" s="11"/>
      <c r="D179" s="33"/>
      <c r="E179" s="34"/>
      <c r="F179" s="35"/>
      <c r="G179" s="76"/>
      <c r="H179" s="76"/>
      <c r="I179" s="77">
        <f t="shared" si="13"/>
        <v>0</v>
      </c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9"/>
      <c r="V179" s="82">
        <f t="shared" si="14"/>
        <v>0</v>
      </c>
      <c r="W179" s="13" t="str">
        <f t="shared" si="15"/>
        <v>P</v>
      </c>
      <c r="X179" s="36"/>
    </row>
    <row r="180" spans="2:24" ht="20.100000000000001" customHeight="1" x14ac:dyDescent="0.25">
      <c r="B180" s="32">
        <v>170</v>
      </c>
      <c r="C180" s="11"/>
      <c r="D180" s="33"/>
      <c r="E180" s="34"/>
      <c r="F180" s="35"/>
      <c r="G180" s="76"/>
      <c r="H180" s="76"/>
      <c r="I180" s="77">
        <f t="shared" si="13"/>
        <v>0</v>
      </c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9"/>
      <c r="V180" s="82">
        <f t="shared" si="14"/>
        <v>0</v>
      </c>
      <c r="W180" s="13" t="str">
        <f t="shared" si="15"/>
        <v>P</v>
      </c>
      <c r="X180" s="36"/>
    </row>
    <row r="181" spans="2:24" ht="20.100000000000001" customHeight="1" x14ac:dyDescent="0.25">
      <c r="B181" s="32">
        <v>171</v>
      </c>
      <c r="C181" s="11"/>
      <c r="D181" s="33"/>
      <c r="E181" s="34"/>
      <c r="F181" s="35"/>
      <c r="G181" s="76"/>
      <c r="H181" s="76"/>
      <c r="I181" s="77">
        <f t="shared" si="13"/>
        <v>0</v>
      </c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9"/>
      <c r="V181" s="82">
        <f t="shared" si="14"/>
        <v>0</v>
      </c>
      <c r="W181" s="13" t="str">
        <f t="shared" si="15"/>
        <v>P</v>
      </c>
      <c r="X181" s="36"/>
    </row>
    <row r="182" spans="2:24" ht="20.100000000000001" customHeight="1" x14ac:dyDescent="0.25">
      <c r="B182" s="32">
        <v>172</v>
      </c>
      <c r="C182" s="11"/>
      <c r="D182" s="33"/>
      <c r="E182" s="34"/>
      <c r="F182" s="35"/>
      <c r="G182" s="76"/>
      <c r="H182" s="76"/>
      <c r="I182" s="77">
        <f t="shared" si="13"/>
        <v>0</v>
      </c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9"/>
      <c r="V182" s="82">
        <f t="shared" si="14"/>
        <v>0</v>
      </c>
      <c r="W182" s="13" t="str">
        <f t="shared" si="15"/>
        <v>P</v>
      </c>
      <c r="X182" s="36"/>
    </row>
    <row r="183" spans="2:24" ht="20.100000000000001" customHeight="1" x14ac:dyDescent="0.25">
      <c r="B183" s="32">
        <v>173</v>
      </c>
      <c r="C183" s="11"/>
      <c r="D183" s="33"/>
      <c r="E183" s="34"/>
      <c r="F183" s="35"/>
      <c r="G183" s="76"/>
      <c r="H183" s="76"/>
      <c r="I183" s="77">
        <f t="shared" si="13"/>
        <v>0</v>
      </c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9"/>
      <c r="V183" s="82">
        <f t="shared" si="14"/>
        <v>0</v>
      </c>
      <c r="W183" s="13" t="str">
        <f t="shared" si="15"/>
        <v>P</v>
      </c>
      <c r="X183" s="36"/>
    </row>
    <row r="184" spans="2:24" ht="20.100000000000001" customHeight="1" x14ac:dyDescent="0.25">
      <c r="B184" s="32">
        <v>174</v>
      </c>
      <c r="C184" s="11"/>
      <c r="D184" s="33"/>
      <c r="E184" s="34"/>
      <c r="F184" s="35"/>
      <c r="G184" s="76"/>
      <c r="H184" s="76"/>
      <c r="I184" s="77">
        <f t="shared" si="13"/>
        <v>0</v>
      </c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9"/>
      <c r="V184" s="82">
        <f t="shared" si="14"/>
        <v>0</v>
      </c>
      <c r="W184" s="13" t="str">
        <f t="shared" si="15"/>
        <v>P</v>
      </c>
      <c r="X184" s="36"/>
    </row>
    <row r="185" spans="2:24" ht="20.100000000000001" customHeight="1" x14ac:dyDescent="0.25">
      <c r="B185" s="32">
        <v>175</v>
      </c>
      <c r="C185" s="11"/>
      <c r="D185" s="33"/>
      <c r="E185" s="34"/>
      <c r="F185" s="35"/>
      <c r="G185" s="76"/>
      <c r="H185" s="76"/>
      <c r="I185" s="77">
        <f t="shared" si="13"/>
        <v>0</v>
      </c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9"/>
      <c r="V185" s="82">
        <f t="shared" si="14"/>
        <v>0</v>
      </c>
      <c r="W185" s="13" t="str">
        <f t="shared" si="15"/>
        <v>P</v>
      </c>
      <c r="X185" s="36"/>
    </row>
    <row r="186" spans="2:24" ht="20.100000000000001" customHeight="1" x14ac:dyDescent="0.25">
      <c r="B186" s="32">
        <v>176</v>
      </c>
      <c r="C186" s="11"/>
      <c r="D186" s="33"/>
      <c r="E186" s="34"/>
      <c r="F186" s="35"/>
      <c r="G186" s="76"/>
      <c r="H186" s="76"/>
      <c r="I186" s="77">
        <f t="shared" si="13"/>
        <v>0</v>
      </c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9"/>
      <c r="V186" s="82">
        <f t="shared" si="14"/>
        <v>0</v>
      </c>
      <c r="W186" s="13" t="str">
        <f t="shared" si="15"/>
        <v>P</v>
      </c>
      <c r="X186" s="36"/>
    </row>
    <row r="187" spans="2:24" ht="20.100000000000001" customHeight="1" x14ac:dyDescent="0.25">
      <c r="B187" s="32">
        <v>177</v>
      </c>
      <c r="C187" s="11"/>
      <c r="D187" s="33"/>
      <c r="E187" s="34"/>
      <c r="F187" s="35"/>
      <c r="G187" s="76"/>
      <c r="H187" s="76"/>
      <c r="I187" s="77">
        <f t="shared" si="13"/>
        <v>0</v>
      </c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9"/>
      <c r="V187" s="82">
        <f t="shared" si="14"/>
        <v>0</v>
      </c>
      <c r="W187" s="13" t="str">
        <f t="shared" si="15"/>
        <v>P</v>
      </c>
      <c r="X187" s="36"/>
    </row>
    <row r="188" spans="2:24" ht="20.100000000000001" customHeight="1" x14ac:dyDescent="0.25">
      <c r="B188" s="32">
        <v>178</v>
      </c>
      <c r="C188" s="11"/>
      <c r="D188" s="33"/>
      <c r="E188" s="34"/>
      <c r="F188" s="35"/>
      <c r="G188" s="76"/>
      <c r="H188" s="76"/>
      <c r="I188" s="77">
        <f t="shared" si="13"/>
        <v>0</v>
      </c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9"/>
      <c r="V188" s="82">
        <f t="shared" si="14"/>
        <v>0</v>
      </c>
      <c r="W188" s="13" t="str">
        <f t="shared" si="15"/>
        <v>P</v>
      </c>
      <c r="X188" s="36"/>
    </row>
    <row r="189" spans="2:24" ht="20.100000000000001" customHeight="1" x14ac:dyDescent="0.25">
      <c r="B189" s="32">
        <v>179</v>
      </c>
      <c r="C189" s="11"/>
      <c r="D189" s="33"/>
      <c r="E189" s="34"/>
      <c r="F189" s="35"/>
      <c r="G189" s="76"/>
      <c r="H189" s="76"/>
      <c r="I189" s="77">
        <f t="shared" si="13"/>
        <v>0</v>
      </c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9"/>
      <c r="V189" s="82">
        <f t="shared" si="14"/>
        <v>0</v>
      </c>
      <c r="W189" s="13" t="str">
        <f t="shared" si="15"/>
        <v>P</v>
      </c>
      <c r="X189" s="36"/>
    </row>
    <row r="190" spans="2:24" ht="20.100000000000001" customHeight="1" x14ac:dyDescent="0.25">
      <c r="B190" s="32">
        <v>180</v>
      </c>
      <c r="C190" s="11"/>
      <c r="D190" s="33"/>
      <c r="E190" s="34"/>
      <c r="F190" s="35"/>
      <c r="G190" s="76"/>
      <c r="H190" s="76"/>
      <c r="I190" s="77">
        <f t="shared" si="13"/>
        <v>0</v>
      </c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9"/>
      <c r="V190" s="82">
        <f t="shared" si="14"/>
        <v>0</v>
      </c>
      <c r="W190" s="13" t="str">
        <f t="shared" si="15"/>
        <v>P</v>
      </c>
      <c r="X190" s="36"/>
    </row>
    <row r="191" spans="2:24" ht="20.100000000000001" customHeight="1" x14ac:dyDescent="0.25">
      <c r="B191" s="32">
        <v>181</v>
      </c>
      <c r="C191" s="11"/>
      <c r="D191" s="33"/>
      <c r="E191" s="34"/>
      <c r="F191" s="35"/>
      <c r="G191" s="76"/>
      <c r="H191" s="76"/>
      <c r="I191" s="77">
        <f t="shared" si="13"/>
        <v>0</v>
      </c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9"/>
      <c r="V191" s="82">
        <f t="shared" si="14"/>
        <v>0</v>
      </c>
      <c r="W191" s="13" t="str">
        <f t="shared" si="15"/>
        <v>P</v>
      </c>
      <c r="X191" s="36"/>
    </row>
    <row r="192" spans="2:24" ht="20.100000000000001" customHeight="1" x14ac:dyDescent="0.25">
      <c r="B192" s="32">
        <v>182</v>
      </c>
      <c r="C192" s="11"/>
      <c r="D192" s="33"/>
      <c r="E192" s="34"/>
      <c r="F192" s="35"/>
      <c r="G192" s="76"/>
      <c r="H192" s="76"/>
      <c r="I192" s="77">
        <f t="shared" si="13"/>
        <v>0</v>
      </c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9"/>
      <c r="V192" s="82">
        <f t="shared" si="14"/>
        <v>0</v>
      </c>
      <c r="W192" s="13" t="str">
        <f t="shared" si="15"/>
        <v>P</v>
      </c>
      <c r="X192" s="36"/>
    </row>
    <row r="193" spans="2:24" ht="20.100000000000001" customHeight="1" x14ac:dyDescent="0.25">
      <c r="B193" s="32">
        <v>183</v>
      </c>
      <c r="C193" s="11"/>
      <c r="D193" s="33"/>
      <c r="E193" s="34"/>
      <c r="F193" s="35"/>
      <c r="G193" s="76"/>
      <c r="H193" s="76"/>
      <c r="I193" s="77">
        <f t="shared" si="13"/>
        <v>0</v>
      </c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9"/>
      <c r="V193" s="82">
        <f t="shared" si="14"/>
        <v>0</v>
      </c>
      <c r="W193" s="13" t="str">
        <f t="shared" si="15"/>
        <v>P</v>
      </c>
      <c r="X193" s="36"/>
    </row>
    <row r="194" spans="2:24" ht="20.100000000000001" customHeight="1" x14ac:dyDescent="0.25">
      <c r="B194" s="32">
        <v>184</v>
      </c>
      <c r="C194" s="11"/>
      <c r="D194" s="33"/>
      <c r="E194" s="34"/>
      <c r="F194" s="35"/>
      <c r="G194" s="76"/>
      <c r="H194" s="76"/>
      <c r="I194" s="77">
        <f t="shared" si="13"/>
        <v>0</v>
      </c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9"/>
      <c r="V194" s="82">
        <f t="shared" si="14"/>
        <v>0</v>
      </c>
      <c r="W194" s="13" t="str">
        <f t="shared" si="15"/>
        <v>P</v>
      </c>
      <c r="X194" s="36"/>
    </row>
    <row r="195" spans="2:24" ht="20.100000000000001" customHeight="1" x14ac:dyDescent="0.25">
      <c r="B195" s="32">
        <v>185</v>
      </c>
      <c r="C195" s="11"/>
      <c r="D195" s="33"/>
      <c r="E195" s="34"/>
      <c r="F195" s="35"/>
      <c r="G195" s="76"/>
      <c r="H195" s="76"/>
      <c r="I195" s="77">
        <f t="shared" si="13"/>
        <v>0</v>
      </c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9"/>
      <c r="V195" s="82">
        <f t="shared" si="14"/>
        <v>0</v>
      </c>
      <c r="W195" s="13" t="str">
        <f t="shared" si="15"/>
        <v>P</v>
      </c>
      <c r="X195" s="36"/>
    </row>
    <row r="196" spans="2:24" ht="20.100000000000001" customHeight="1" x14ac:dyDescent="0.25">
      <c r="B196" s="32">
        <v>186</v>
      </c>
      <c r="C196" s="11"/>
      <c r="D196" s="33"/>
      <c r="E196" s="34"/>
      <c r="F196" s="35"/>
      <c r="G196" s="76"/>
      <c r="H196" s="76"/>
      <c r="I196" s="77">
        <f t="shared" si="13"/>
        <v>0</v>
      </c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9"/>
      <c r="V196" s="82">
        <f t="shared" si="14"/>
        <v>0</v>
      </c>
      <c r="W196" s="13" t="str">
        <f t="shared" si="15"/>
        <v>P</v>
      </c>
      <c r="X196" s="36"/>
    </row>
    <row r="197" spans="2:24" ht="20.100000000000001" customHeight="1" x14ac:dyDescent="0.25">
      <c r="B197" s="32">
        <v>187</v>
      </c>
      <c r="C197" s="11"/>
      <c r="D197" s="33"/>
      <c r="E197" s="34"/>
      <c r="F197" s="35"/>
      <c r="G197" s="76"/>
      <c r="H197" s="76"/>
      <c r="I197" s="77">
        <f t="shared" si="13"/>
        <v>0</v>
      </c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9"/>
      <c r="V197" s="82">
        <f t="shared" si="14"/>
        <v>0</v>
      </c>
      <c r="W197" s="13" t="str">
        <f t="shared" si="15"/>
        <v>P</v>
      </c>
      <c r="X197" s="36"/>
    </row>
    <row r="198" spans="2:24" ht="20.100000000000001" customHeight="1" x14ac:dyDescent="0.25">
      <c r="B198" s="32">
        <v>188</v>
      </c>
      <c r="C198" s="11"/>
      <c r="D198" s="33"/>
      <c r="E198" s="34"/>
      <c r="F198" s="35"/>
      <c r="G198" s="76"/>
      <c r="H198" s="76"/>
      <c r="I198" s="77">
        <f t="shared" si="13"/>
        <v>0</v>
      </c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9"/>
      <c r="V198" s="82">
        <f t="shared" si="14"/>
        <v>0</v>
      </c>
      <c r="W198" s="13" t="str">
        <f t="shared" si="15"/>
        <v>P</v>
      </c>
      <c r="X198" s="36"/>
    </row>
    <row r="199" spans="2:24" ht="20.100000000000001" customHeight="1" x14ac:dyDescent="0.25">
      <c r="B199" s="32">
        <v>189</v>
      </c>
      <c r="C199" s="11"/>
      <c r="D199" s="33"/>
      <c r="E199" s="34"/>
      <c r="F199" s="35"/>
      <c r="G199" s="76"/>
      <c r="H199" s="76"/>
      <c r="I199" s="77">
        <f t="shared" si="13"/>
        <v>0</v>
      </c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9"/>
      <c r="V199" s="82">
        <f t="shared" si="14"/>
        <v>0</v>
      </c>
      <c r="W199" s="13" t="str">
        <f t="shared" si="15"/>
        <v>P</v>
      </c>
      <c r="X199" s="36"/>
    </row>
    <row r="200" spans="2:24" ht="20.100000000000001" customHeight="1" x14ac:dyDescent="0.25">
      <c r="B200" s="32">
        <v>190</v>
      </c>
      <c r="C200" s="11"/>
      <c r="D200" s="33"/>
      <c r="E200" s="34"/>
      <c r="F200" s="35"/>
      <c r="G200" s="76"/>
      <c r="H200" s="76"/>
      <c r="I200" s="77">
        <f t="shared" si="13"/>
        <v>0</v>
      </c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9"/>
      <c r="V200" s="82">
        <f t="shared" si="14"/>
        <v>0</v>
      </c>
      <c r="W200" s="13" t="str">
        <f t="shared" si="15"/>
        <v>P</v>
      </c>
      <c r="X200" s="36"/>
    </row>
    <row r="201" spans="2:24" ht="20.100000000000001" customHeight="1" x14ac:dyDescent="0.25">
      <c r="B201" s="32">
        <v>191</v>
      </c>
      <c r="C201" s="11"/>
      <c r="D201" s="33"/>
      <c r="E201" s="34"/>
      <c r="F201" s="35"/>
      <c r="G201" s="76"/>
      <c r="H201" s="76"/>
      <c r="I201" s="77">
        <f t="shared" si="13"/>
        <v>0</v>
      </c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9"/>
      <c r="V201" s="82">
        <f t="shared" si="14"/>
        <v>0</v>
      </c>
      <c r="W201" s="13" t="str">
        <f t="shared" si="15"/>
        <v>P</v>
      </c>
      <c r="X201" s="36"/>
    </row>
    <row r="202" spans="2:24" ht="20.100000000000001" customHeight="1" x14ac:dyDescent="0.25">
      <c r="B202" s="32">
        <v>192</v>
      </c>
      <c r="C202" s="11"/>
      <c r="D202" s="33"/>
      <c r="E202" s="34"/>
      <c r="F202" s="35"/>
      <c r="G202" s="76"/>
      <c r="H202" s="76"/>
      <c r="I202" s="77">
        <f t="shared" si="13"/>
        <v>0</v>
      </c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9"/>
      <c r="V202" s="82">
        <f t="shared" si="14"/>
        <v>0</v>
      </c>
      <c r="W202" s="13" t="str">
        <f t="shared" si="15"/>
        <v>P</v>
      </c>
      <c r="X202" s="36"/>
    </row>
    <row r="203" spans="2:24" ht="20.100000000000001" customHeight="1" x14ac:dyDescent="0.25">
      <c r="B203" s="32">
        <v>193</v>
      </c>
      <c r="C203" s="11"/>
      <c r="D203" s="33"/>
      <c r="E203" s="34"/>
      <c r="F203" s="35"/>
      <c r="G203" s="76"/>
      <c r="H203" s="76"/>
      <c r="I203" s="77">
        <f t="shared" si="13"/>
        <v>0</v>
      </c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9"/>
      <c r="V203" s="82">
        <f t="shared" si="14"/>
        <v>0</v>
      </c>
      <c r="W203" s="13" t="str">
        <f t="shared" si="15"/>
        <v>P</v>
      </c>
      <c r="X203" s="36"/>
    </row>
    <row r="204" spans="2:24" ht="20.100000000000001" customHeight="1" x14ac:dyDescent="0.25">
      <c r="B204" s="32">
        <v>194</v>
      </c>
      <c r="C204" s="11"/>
      <c r="D204" s="33"/>
      <c r="E204" s="34"/>
      <c r="F204" s="35"/>
      <c r="G204" s="76"/>
      <c r="H204" s="76"/>
      <c r="I204" s="77">
        <f t="shared" si="13"/>
        <v>0</v>
      </c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9"/>
      <c r="V204" s="82">
        <f t="shared" si="14"/>
        <v>0</v>
      </c>
      <c r="W204" s="13" t="str">
        <f t="shared" si="15"/>
        <v>P</v>
      </c>
      <c r="X204" s="36"/>
    </row>
    <row r="205" spans="2:24" ht="20.100000000000001" customHeight="1" x14ac:dyDescent="0.25">
      <c r="B205" s="32">
        <v>195</v>
      </c>
      <c r="C205" s="11"/>
      <c r="D205" s="33"/>
      <c r="E205" s="34"/>
      <c r="F205" s="35"/>
      <c r="G205" s="76"/>
      <c r="H205" s="76"/>
      <c r="I205" s="77">
        <f t="shared" si="13"/>
        <v>0</v>
      </c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9"/>
      <c r="V205" s="82">
        <f t="shared" si="14"/>
        <v>0</v>
      </c>
      <c r="W205" s="13" t="str">
        <f t="shared" si="15"/>
        <v>P</v>
      </c>
      <c r="X205" s="36"/>
    </row>
    <row r="206" spans="2:24" ht="20.100000000000001" customHeight="1" x14ac:dyDescent="0.25">
      <c r="B206" s="32">
        <v>196</v>
      </c>
      <c r="C206" s="11"/>
      <c r="D206" s="33"/>
      <c r="E206" s="34"/>
      <c r="F206" s="35"/>
      <c r="G206" s="76"/>
      <c r="H206" s="76"/>
      <c r="I206" s="77">
        <f t="shared" si="13"/>
        <v>0</v>
      </c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9"/>
      <c r="V206" s="82">
        <f t="shared" si="14"/>
        <v>0</v>
      </c>
      <c r="W206" s="13" t="str">
        <f t="shared" si="15"/>
        <v>P</v>
      </c>
      <c r="X206" s="36"/>
    </row>
    <row r="207" spans="2:24" ht="20.100000000000001" customHeight="1" x14ac:dyDescent="0.25">
      <c r="B207" s="32">
        <v>197</v>
      </c>
      <c r="C207" s="11"/>
      <c r="D207" s="33"/>
      <c r="E207" s="34"/>
      <c r="F207" s="35"/>
      <c r="G207" s="76"/>
      <c r="H207" s="76"/>
      <c r="I207" s="77">
        <f t="shared" si="13"/>
        <v>0</v>
      </c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9"/>
      <c r="V207" s="82">
        <f t="shared" si="14"/>
        <v>0</v>
      </c>
      <c r="W207" s="13" t="str">
        <f t="shared" si="15"/>
        <v>P</v>
      </c>
      <c r="X207" s="36"/>
    </row>
    <row r="208" spans="2:24" ht="20.100000000000001" customHeight="1" x14ac:dyDescent="0.25">
      <c r="B208" s="32">
        <v>198</v>
      </c>
      <c r="C208" s="11"/>
      <c r="D208" s="33"/>
      <c r="E208" s="34"/>
      <c r="F208" s="35"/>
      <c r="G208" s="76"/>
      <c r="H208" s="76"/>
      <c r="I208" s="77">
        <f t="shared" ref="I208:I271" si="16">G208*H208</f>
        <v>0</v>
      </c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9"/>
      <c r="V208" s="82">
        <f t="shared" ref="V208:V271" si="17">SUM(J208:U208)</f>
        <v>0</v>
      </c>
      <c r="W208" s="13" t="str">
        <f t="shared" ref="W208:W271" si="18">IF(I208=V208,"P","O")</f>
        <v>P</v>
      </c>
      <c r="X208" s="36"/>
    </row>
    <row r="209" spans="2:24" ht="20.100000000000001" customHeight="1" x14ac:dyDescent="0.25">
      <c r="B209" s="32">
        <v>199</v>
      </c>
      <c r="C209" s="11"/>
      <c r="D209" s="33"/>
      <c r="E209" s="34"/>
      <c r="F209" s="35"/>
      <c r="G209" s="76"/>
      <c r="H209" s="76"/>
      <c r="I209" s="77">
        <f t="shared" si="16"/>
        <v>0</v>
      </c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9"/>
      <c r="V209" s="82">
        <f t="shared" si="17"/>
        <v>0</v>
      </c>
      <c r="W209" s="13" t="str">
        <f t="shared" si="18"/>
        <v>P</v>
      </c>
      <c r="X209" s="36"/>
    </row>
    <row r="210" spans="2:24" ht="20.100000000000001" customHeight="1" x14ac:dyDescent="0.25">
      <c r="B210" s="32">
        <v>200</v>
      </c>
      <c r="C210" s="11"/>
      <c r="D210" s="33"/>
      <c r="E210" s="34"/>
      <c r="F210" s="35"/>
      <c r="G210" s="76"/>
      <c r="H210" s="76"/>
      <c r="I210" s="77">
        <f t="shared" si="16"/>
        <v>0</v>
      </c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9"/>
      <c r="V210" s="82">
        <f t="shared" si="17"/>
        <v>0</v>
      </c>
      <c r="W210" s="13" t="str">
        <f t="shared" si="18"/>
        <v>P</v>
      </c>
      <c r="X210" s="36"/>
    </row>
    <row r="211" spans="2:24" ht="20.100000000000001" customHeight="1" x14ac:dyDescent="0.25">
      <c r="B211" s="32">
        <v>201</v>
      </c>
      <c r="C211" s="11"/>
      <c r="D211" s="33"/>
      <c r="E211" s="34"/>
      <c r="F211" s="35"/>
      <c r="G211" s="76"/>
      <c r="H211" s="76"/>
      <c r="I211" s="77">
        <f t="shared" si="16"/>
        <v>0</v>
      </c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9"/>
      <c r="V211" s="82">
        <f t="shared" si="17"/>
        <v>0</v>
      </c>
      <c r="W211" s="13" t="str">
        <f t="shared" si="18"/>
        <v>P</v>
      </c>
      <c r="X211" s="36"/>
    </row>
    <row r="212" spans="2:24" ht="20.100000000000001" customHeight="1" x14ac:dyDescent="0.25">
      <c r="B212" s="32">
        <v>202</v>
      </c>
      <c r="C212" s="11"/>
      <c r="D212" s="33"/>
      <c r="E212" s="34"/>
      <c r="F212" s="35"/>
      <c r="G212" s="76"/>
      <c r="H212" s="76"/>
      <c r="I212" s="77">
        <f t="shared" si="16"/>
        <v>0</v>
      </c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9"/>
      <c r="V212" s="82">
        <f t="shared" si="17"/>
        <v>0</v>
      </c>
      <c r="W212" s="13" t="str">
        <f t="shared" si="18"/>
        <v>P</v>
      </c>
      <c r="X212" s="36"/>
    </row>
    <row r="213" spans="2:24" ht="20.100000000000001" customHeight="1" x14ac:dyDescent="0.25">
      <c r="B213" s="32">
        <v>203</v>
      </c>
      <c r="C213" s="11"/>
      <c r="D213" s="33"/>
      <c r="E213" s="34"/>
      <c r="F213" s="35"/>
      <c r="G213" s="76"/>
      <c r="H213" s="76"/>
      <c r="I213" s="77">
        <f t="shared" si="16"/>
        <v>0</v>
      </c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9"/>
      <c r="V213" s="82">
        <f t="shared" si="17"/>
        <v>0</v>
      </c>
      <c r="W213" s="13" t="str">
        <f t="shared" si="18"/>
        <v>P</v>
      </c>
      <c r="X213" s="36"/>
    </row>
    <row r="214" spans="2:24" ht="20.100000000000001" customHeight="1" x14ac:dyDescent="0.25">
      <c r="B214" s="32">
        <v>204</v>
      </c>
      <c r="C214" s="11"/>
      <c r="D214" s="33"/>
      <c r="E214" s="34"/>
      <c r="F214" s="35"/>
      <c r="G214" s="76"/>
      <c r="H214" s="76"/>
      <c r="I214" s="77">
        <f t="shared" si="16"/>
        <v>0</v>
      </c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9"/>
      <c r="V214" s="82">
        <f t="shared" si="17"/>
        <v>0</v>
      </c>
      <c r="W214" s="13" t="str">
        <f t="shared" si="18"/>
        <v>P</v>
      </c>
      <c r="X214" s="36"/>
    </row>
    <row r="215" spans="2:24" ht="20.100000000000001" customHeight="1" x14ac:dyDescent="0.25">
      <c r="B215" s="32">
        <v>205</v>
      </c>
      <c r="C215" s="11"/>
      <c r="D215" s="33"/>
      <c r="E215" s="34"/>
      <c r="F215" s="35"/>
      <c r="G215" s="76"/>
      <c r="H215" s="76"/>
      <c r="I215" s="77">
        <f t="shared" si="16"/>
        <v>0</v>
      </c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9"/>
      <c r="V215" s="82">
        <f t="shared" si="17"/>
        <v>0</v>
      </c>
      <c r="W215" s="13" t="str">
        <f t="shared" si="18"/>
        <v>P</v>
      </c>
      <c r="X215" s="36"/>
    </row>
    <row r="216" spans="2:24" ht="20.100000000000001" customHeight="1" x14ac:dyDescent="0.25">
      <c r="B216" s="32">
        <v>206</v>
      </c>
      <c r="C216" s="11"/>
      <c r="D216" s="33"/>
      <c r="E216" s="34"/>
      <c r="F216" s="35"/>
      <c r="G216" s="76"/>
      <c r="H216" s="76"/>
      <c r="I216" s="77">
        <f t="shared" si="16"/>
        <v>0</v>
      </c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9"/>
      <c r="V216" s="82">
        <f t="shared" si="17"/>
        <v>0</v>
      </c>
      <c r="W216" s="13" t="str">
        <f t="shared" si="18"/>
        <v>P</v>
      </c>
      <c r="X216" s="36"/>
    </row>
    <row r="217" spans="2:24" ht="20.100000000000001" customHeight="1" x14ac:dyDescent="0.25">
      <c r="B217" s="32">
        <v>207</v>
      </c>
      <c r="C217" s="11"/>
      <c r="D217" s="33"/>
      <c r="E217" s="34"/>
      <c r="F217" s="35"/>
      <c r="G217" s="76"/>
      <c r="H217" s="76"/>
      <c r="I217" s="77">
        <f t="shared" si="16"/>
        <v>0</v>
      </c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9"/>
      <c r="V217" s="82">
        <f t="shared" si="17"/>
        <v>0</v>
      </c>
      <c r="W217" s="13" t="str">
        <f t="shared" si="18"/>
        <v>P</v>
      </c>
      <c r="X217" s="36"/>
    </row>
    <row r="218" spans="2:24" ht="20.100000000000001" customHeight="1" x14ac:dyDescent="0.25">
      <c r="B218" s="32">
        <v>208</v>
      </c>
      <c r="C218" s="11"/>
      <c r="D218" s="33"/>
      <c r="E218" s="34"/>
      <c r="F218" s="35"/>
      <c r="G218" s="76"/>
      <c r="H218" s="76"/>
      <c r="I218" s="77">
        <f t="shared" si="16"/>
        <v>0</v>
      </c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9"/>
      <c r="V218" s="82">
        <f t="shared" si="17"/>
        <v>0</v>
      </c>
      <c r="W218" s="13" t="str">
        <f t="shared" si="18"/>
        <v>P</v>
      </c>
      <c r="X218" s="36"/>
    </row>
    <row r="219" spans="2:24" ht="20.100000000000001" customHeight="1" x14ac:dyDescent="0.25">
      <c r="B219" s="32">
        <v>209</v>
      </c>
      <c r="C219" s="11"/>
      <c r="D219" s="33"/>
      <c r="E219" s="34"/>
      <c r="F219" s="35"/>
      <c r="G219" s="76"/>
      <c r="H219" s="76"/>
      <c r="I219" s="77">
        <f t="shared" si="16"/>
        <v>0</v>
      </c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9"/>
      <c r="V219" s="82">
        <f t="shared" si="17"/>
        <v>0</v>
      </c>
      <c r="W219" s="13" t="str">
        <f t="shared" si="18"/>
        <v>P</v>
      </c>
      <c r="X219" s="36"/>
    </row>
    <row r="220" spans="2:24" ht="20.100000000000001" customHeight="1" x14ac:dyDescent="0.25">
      <c r="B220" s="32">
        <v>210</v>
      </c>
      <c r="C220" s="11"/>
      <c r="D220" s="33"/>
      <c r="E220" s="34"/>
      <c r="F220" s="35"/>
      <c r="G220" s="76"/>
      <c r="H220" s="76"/>
      <c r="I220" s="77">
        <f t="shared" si="16"/>
        <v>0</v>
      </c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9"/>
      <c r="V220" s="82">
        <f t="shared" si="17"/>
        <v>0</v>
      </c>
      <c r="W220" s="13" t="str">
        <f t="shared" si="18"/>
        <v>P</v>
      </c>
      <c r="X220" s="36"/>
    </row>
    <row r="221" spans="2:24" ht="20.100000000000001" customHeight="1" x14ac:dyDescent="0.25">
      <c r="B221" s="32">
        <v>211</v>
      </c>
      <c r="C221" s="11"/>
      <c r="D221" s="33"/>
      <c r="E221" s="34"/>
      <c r="F221" s="35"/>
      <c r="G221" s="76"/>
      <c r="H221" s="76"/>
      <c r="I221" s="77">
        <f t="shared" si="16"/>
        <v>0</v>
      </c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9"/>
      <c r="V221" s="82">
        <f t="shared" si="17"/>
        <v>0</v>
      </c>
      <c r="W221" s="13" t="str">
        <f t="shared" si="18"/>
        <v>P</v>
      </c>
      <c r="X221" s="36"/>
    </row>
    <row r="222" spans="2:24" ht="20.100000000000001" customHeight="1" x14ac:dyDescent="0.25">
      <c r="B222" s="32">
        <v>212</v>
      </c>
      <c r="C222" s="11"/>
      <c r="D222" s="33"/>
      <c r="E222" s="34"/>
      <c r="F222" s="35"/>
      <c r="G222" s="76"/>
      <c r="H222" s="76"/>
      <c r="I222" s="77">
        <f t="shared" si="16"/>
        <v>0</v>
      </c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9"/>
      <c r="V222" s="82">
        <f t="shared" si="17"/>
        <v>0</v>
      </c>
      <c r="W222" s="13" t="str">
        <f t="shared" si="18"/>
        <v>P</v>
      </c>
      <c r="X222" s="36"/>
    </row>
    <row r="223" spans="2:24" ht="20.100000000000001" customHeight="1" x14ac:dyDescent="0.25">
      <c r="B223" s="32">
        <v>213</v>
      </c>
      <c r="C223" s="11"/>
      <c r="D223" s="33"/>
      <c r="E223" s="34"/>
      <c r="F223" s="35"/>
      <c r="G223" s="76"/>
      <c r="H223" s="76"/>
      <c r="I223" s="77">
        <f t="shared" si="16"/>
        <v>0</v>
      </c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9"/>
      <c r="V223" s="82">
        <f t="shared" si="17"/>
        <v>0</v>
      </c>
      <c r="W223" s="13" t="str">
        <f t="shared" si="18"/>
        <v>P</v>
      </c>
      <c r="X223" s="36"/>
    </row>
    <row r="224" spans="2:24" ht="20.100000000000001" customHeight="1" x14ac:dyDescent="0.25">
      <c r="B224" s="32">
        <v>214</v>
      </c>
      <c r="C224" s="11"/>
      <c r="D224" s="33"/>
      <c r="E224" s="34"/>
      <c r="F224" s="35"/>
      <c r="G224" s="76"/>
      <c r="H224" s="76"/>
      <c r="I224" s="77">
        <f t="shared" si="16"/>
        <v>0</v>
      </c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9"/>
      <c r="V224" s="82">
        <f t="shared" si="17"/>
        <v>0</v>
      </c>
      <c r="W224" s="13" t="str">
        <f t="shared" si="18"/>
        <v>P</v>
      </c>
      <c r="X224" s="36"/>
    </row>
    <row r="225" spans="2:24" ht="20.100000000000001" customHeight="1" x14ac:dyDescent="0.25">
      <c r="B225" s="32">
        <v>215</v>
      </c>
      <c r="C225" s="11"/>
      <c r="D225" s="33"/>
      <c r="E225" s="34"/>
      <c r="F225" s="35"/>
      <c r="G225" s="76"/>
      <c r="H225" s="76"/>
      <c r="I225" s="77">
        <f t="shared" si="16"/>
        <v>0</v>
      </c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9"/>
      <c r="V225" s="82">
        <f t="shared" si="17"/>
        <v>0</v>
      </c>
      <c r="W225" s="13" t="str">
        <f t="shared" si="18"/>
        <v>P</v>
      </c>
      <c r="X225" s="36"/>
    </row>
    <row r="226" spans="2:24" ht="20.100000000000001" customHeight="1" x14ac:dyDescent="0.25">
      <c r="B226" s="32">
        <v>216</v>
      </c>
      <c r="C226" s="11"/>
      <c r="D226" s="33"/>
      <c r="E226" s="34"/>
      <c r="F226" s="35"/>
      <c r="G226" s="76"/>
      <c r="H226" s="76"/>
      <c r="I226" s="77">
        <f t="shared" si="16"/>
        <v>0</v>
      </c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9"/>
      <c r="V226" s="82">
        <f t="shared" si="17"/>
        <v>0</v>
      </c>
      <c r="W226" s="13" t="str">
        <f t="shared" si="18"/>
        <v>P</v>
      </c>
      <c r="X226" s="36"/>
    </row>
    <row r="227" spans="2:24" ht="20.100000000000001" customHeight="1" x14ac:dyDescent="0.25">
      <c r="B227" s="32">
        <v>217</v>
      </c>
      <c r="C227" s="11"/>
      <c r="D227" s="33"/>
      <c r="E227" s="34"/>
      <c r="F227" s="35"/>
      <c r="G227" s="76"/>
      <c r="H227" s="76"/>
      <c r="I227" s="77">
        <f t="shared" si="16"/>
        <v>0</v>
      </c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9"/>
      <c r="V227" s="82">
        <f t="shared" si="17"/>
        <v>0</v>
      </c>
      <c r="W227" s="13" t="str">
        <f t="shared" si="18"/>
        <v>P</v>
      </c>
      <c r="X227" s="36"/>
    </row>
    <row r="228" spans="2:24" ht="20.100000000000001" customHeight="1" x14ac:dyDescent="0.25">
      <c r="B228" s="32">
        <v>218</v>
      </c>
      <c r="C228" s="11"/>
      <c r="D228" s="33"/>
      <c r="E228" s="34"/>
      <c r="F228" s="35"/>
      <c r="G228" s="76"/>
      <c r="H228" s="76"/>
      <c r="I228" s="77">
        <f t="shared" si="16"/>
        <v>0</v>
      </c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9"/>
      <c r="V228" s="82">
        <f t="shared" si="17"/>
        <v>0</v>
      </c>
      <c r="W228" s="13" t="str">
        <f t="shared" si="18"/>
        <v>P</v>
      </c>
      <c r="X228" s="36"/>
    </row>
    <row r="229" spans="2:24" ht="20.100000000000001" customHeight="1" x14ac:dyDescent="0.25">
      <c r="B229" s="32">
        <v>219</v>
      </c>
      <c r="C229" s="11"/>
      <c r="D229" s="33"/>
      <c r="E229" s="34"/>
      <c r="F229" s="35"/>
      <c r="G229" s="76"/>
      <c r="H229" s="76"/>
      <c r="I229" s="77">
        <f t="shared" si="16"/>
        <v>0</v>
      </c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9"/>
      <c r="V229" s="82">
        <f t="shared" si="17"/>
        <v>0</v>
      </c>
      <c r="W229" s="13" t="str">
        <f t="shared" si="18"/>
        <v>P</v>
      </c>
      <c r="X229" s="36"/>
    </row>
    <row r="230" spans="2:24" ht="20.100000000000001" customHeight="1" x14ac:dyDescent="0.25">
      <c r="B230" s="32">
        <v>220</v>
      </c>
      <c r="C230" s="11"/>
      <c r="D230" s="33"/>
      <c r="E230" s="34"/>
      <c r="F230" s="35"/>
      <c r="G230" s="76"/>
      <c r="H230" s="76"/>
      <c r="I230" s="77">
        <f t="shared" si="16"/>
        <v>0</v>
      </c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9"/>
      <c r="V230" s="82">
        <f t="shared" si="17"/>
        <v>0</v>
      </c>
      <c r="W230" s="13" t="str">
        <f t="shared" si="18"/>
        <v>P</v>
      </c>
      <c r="X230" s="36"/>
    </row>
    <row r="231" spans="2:24" ht="20.100000000000001" customHeight="1" x14ac:dyDescent="0.25">
      <c r="B231" s="32">
        <v>221</v>
      </c>
      <c r="C231" s="11"/>
      <c r="D231" s="33"/>
      <c r="E231" s="34"/>
      <c r="F231" s="35"/>
      <c r="G231" s="76"/>
      <c r="H231" s="76"/>
      <c r="I231" s="77">
        <f t="shared" si="16"/>
        <v>0</v>
      </c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9"/>
      <c r="V231" s="82">
        <f t="shared" si="17"/>
        <v>0</v>
      </c>
      <c r="W231" s="13" t="str">
        <f t="shared" si="18"/>
        <v>P</v>
      </c>
      <c r="X231" s="36"/>
    </row>
    <row r="232" spans="2:24" ht="20.100000000000001" customHeight="1" x14ac:dyDescent="0.25">
      <c r="B232" s="32">
        <v>222</v>
      </c>
      <c r="C232" s="11"/>
      <c r="D232" s="33"/>
      <c r="E232" s="34"/>
      <c r="F232" s="35"/>
      <c r="G232" s="76"/>
      <c r="H232" s="76"/>
      <c r="I232" s="77">
        <f t="shared" si="16"/>
        <v>0</v>
      </c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9"/>
      <c r="V232" s="82">
        <f t="shared" si="17"/>
        <v>0</v>
      </c>
      <c r="W232" s="13" t="str">
        <f t="shared" si="18"/>
        <v>P</v>
      </c>
      <c r="X232" s="36"/>
    </row>
    <row r="233" spans="2:24" ht="20.100000000000001" customHeight="1" x14ac:dyDescent="0.25">
      <c r="B233" s="32">
        <v>223</v>
      </c>
      <c r="C233" s="11"/>
      <c r="D233" s="33"/>
      <c r="E233" s="34"/>
      <c r="F233" s="35"/>
      <c r="G233" s="76"/>
      <c r="H233" s="76"/>
      <c r="I233" s="77">
        <f t="shared" si="16"/>
        <v>0</v>
      </c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9"/>
      <c r="V233" s="82">
        <f t="shared" si="17"/>
        <v>0</v>
      </c>
      <c r="W233" s="13" t="str">
        <f t="shared" si="18"/>
        <v>P</v>
      </c>
      <c r="X233" s="36"/>
    </row>
    <row r="234" spans="2:24" ht="20.100000000000001" customHeight="1" x14ac:dyDescent="0.25">
      <c r="B234" s="32">
        <v>224</v>
      </c>
      <c r="C234" s="11"/>
      <c r="D234" s="33"/>
      <c r="E234" s="34"/>
      <c r="F234" s="35"/>
      <c r="G234" s="76"/>
      <c r="H234" s="76"/>
      <c r="I234" s="77">
        <f t="shared" si="16"/>
        <v>0</v>
      </c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9"/>
      <c r="V234" s="82">
        <f t="shared" si="17"/>
        <v>0</v>
      </c>
      <c r="W234" s="13" t="str">
        <f t="shared" si="18"/>
        <v>P</v>
      </c>
      <c r="X234" s="36"/>
    </row>
    <row r="235" spans="2:24" ht="20.100000000000001" customHeight="1" x14ac:dyDescent="0.25">
      <c r="B235" s="32">
        <v>225</v>
      </c>
      <c r="C235" s="11"/>
      <c r="D235" s="33"/>
      <c r="E235" s="34"/>
      <c r="F235" s="35"/>
      <c r="G235" s="76"/>
      <c r="H235" s="76"/>
      <c r="I235" s="77">
        <f t="shared" si="16"/>
        <v>0</v>
      </c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9"/>
      <c r="V235" s="82">
        <f t="shared" si="17"/>
        <v>0</v>
      </c>
      <c r="W235" s="13" t="str">
        <f t="shared" si="18"/>
        <v>P</v>
      </c>
      <c r="X235" s="36"/>
    </row>
    <row r="236" spans="2:24" ht="20.100000000000001" customHeight="1" x14ac:dyDescent="0.25">
      <c r="B236" s="32">
        <v>226</v>
      </c>
      <c r="C236" s="11"/>
      <c r="D236" s="33"/>
      <c r="E236" s="34"/>
      <c r="F236" s="35"/>
      <c r="G236" s="76"/>
      <c r="H236" s="76"/>
      <c r="I236" s="77">
        <f t="shared" si="16"/>
        <v>0</v>
      </c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9"/>
      <c r="V236" s="82">
        <f t="shared" si="17"/>
        <v>0</v>
      </c>
      <c r="W236" s="13" t="str">
        <f t="shared" si="18"/>
        <v>P</v>
      </c>
      <c r="X236" s="36"/>
    </row>
    <row r="237" spans="2:24" ht="20.100000000000001" customHeight="1" x14ac:dyDescent="0.25">
      <c r="B237" s="32">
        <v>227</v>
      </c>
      <c r="C237" s="11"/>
      <c r="D237" s="33"/>
      <c r="E237" s="34"/>
      <c r="F237" s="35"/>
      <c r="G237" s="76"/>
      <c r="H237" s="76"/>
      <c r="I237" s="77">
        <f t="shared" si="16"/>
        <v>0</v>
      </c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9"/>
      <c r="V237" s="82">
        <f t="shared" si="17"/>
        <v>0</v>
      </c>
      <c r="W237" s="13" t="str">
        <f t="shared" si="18"/>
        <v>P</v>
      </c>
      <c r="X237" s="36"/>
    </row>
    <row r="238" spans="2:24" ht="20.100000000000001" customHeight="1" x14ac:dyDescent="0.25">
      <c r="B238" s="32">
        <v>228</v>
      </c>
      <c r="C238" s="11"/>
      <c r="D238" s="33"/>
      <c r="E238" s="34"/>
      <c r="F238" s="35"/>
      <c r="G238" s="76"/>
      <c r="H238" s="76"/>
      <c r="I238" s="77">
        <f t="shared" si="16"/>
        <v>0</v>
      </c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9"/>
      <c r="V238" s="82">
        <f t="shared" si="17"/>
        <v>0</v>
      </c>
      <c r="W238" s="13" t="str">
        <f t="shared" si="18"/>
        <v>P</v>
      </c>
      <c r="X238" s="36"/>
    </row>
    <row r="239" spans="2:24" ht="20.100000000000001" customHeight="1" x14ac:dyDescent="0.25">
      <c r="B239" s="32">
        <v>229</v>
      </c>
      <c r="C239" s="11"/>
      <c r="D239" s="33"/>
      <c r="E239" s="34"/>
      <c r="F239" s="35"/>
      <c r="G239" s="76"/>
      <c r="H239" s="76"/>
      <c r="I239" s="77">
        <f t="shared" si="16"/>
        <v>0</v>
      </c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9"/>
      <c r="V239" s="82">
        <f t="shared" si="17"/>
        <v>0</v>
      </c>
      <c r="W239" s="13" t="str">
        <f t="shared" si="18"/>
        <v>P</v>
      </c>
      <c r="X239" s="36"/>
    </row>
    <row r="240" spans="2:24" ht="20.100000000000001" customHeight="1" x14ac:dyDescent="0.25">
      <c r="B240" s="32">
        <v>230</v>
      </c>
      <c r="C240" s="11"/>
      <c r="D240" s="33"/>
      <c r="E240" s="34"/>
      <c r="F240" s="35"/>
      <c r="G240" s="76"/>
      <c r="H240" s="76"/>
      <c r="I240" s="77">
        <f t="shared" si="16"/>
        <v>0</v>
      </c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9"/>
      <c r="V240" s="82">
        <f t="shared" si="17"/>
        <v>0</v>
      </c>
      <c r="W240" s="13" t="str">
        <f t="shared" si="18"/>
        <v>P</v>
      </c>
      <c r="X240" s="36"/>
    </row>
    <row r="241" spans="2:24" ht="20.100000000000001" customHeight="1" x14ac:dyDescent="0.25">
      <c r="B241" s="32">
        <v>231</v>
      </c>
      <c r="C241" s="11"/>
      <c r="D241" s="33"/>
      <c r="E241" s="34"/>
      <c r="F241" s="35"/>
      <c r="G241" s="76"/>
      <c r="H241" s="76"/>
      <c r="I241" s="77">
        <f t="shared" si="16"/>
        <v>0</v>
      </c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9"/>
      <c r="V241" s="82">
        <f t="shared" si="17"/>
        <v>0</v>
      </c>
      <c r="W241" s="13" t="str">
        <f t="shared" si="18"/>
        <v>P</v>
      </c>
      <c r="X241" s="36"/>
    </row>
    <row r="242" spans="2:24" ht="20.100000000000001" customHeight="1" x14ac:dyDescent="0.25">
      <c r="B242" s="32">
        <v>232</v>
      </c>
      <c r="C242" s="11"/>
      <c r="D242" s="33"/>
      <c r="E242" s="34"/>
      <c r="F242" s="35"/>
      <c r="G242" s="76"/>
      <c r="H242" s="76"/>
      <c r="I242" s="77">
        <f t="shared" si="16"/>
        <v>0</v>
      </c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9"/>
      <c r="V242" s="82">
        <f t="shared" si="17"/>
        <v>0</v>
      </c>
      <c r="W242" s="13" t="str">
        <f t="shared" si="18"/>
        <v>P</v>
      </c>
      <c r="X242" s="36"/>
    </row>
    <row r="243" spans="2:24" ht="20.100000000000001" customHeight="1" x14ac:dyDescent="0.25">
      <c r="B243" s="32">
        <v>233</v>
      </c>
      <c r="C243" s="11"/>
      <c r="D243" s="33"/>
      <c r="E243" s="34"/>
      <c r="F243" s="35"/>
      <c r="G243" s="76"/>
      <c r="H243" s="76"/>
      <c r="I243" s="77">
        <f t="shared" si="16"/>
        <v>0</v>
      </c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9"/>
      <c r="V243" s="82">
        <f t="shared" si="17"/>
        <v>0</v>
      </c>
      <c r="W243" s="13" t="str">
        <f t="shared" si="18"/>
        <v>P</v>
      </c>
      <c r="X243" s="36"/>
    </row>
    <row r="244" spans="2:24" ht="20.100000000000001" customHeight="1" x14ac:dyDescent="0.25">
      <c r="B244" s="32">
        <v>234</v>
      </c>
      <c r="C244" s="11"/>
      <c r="D244" s="33"/>
      <c r="E244" s="34"/>
      <c r="F244" s="35"/>
      <c r="G244" s="76"/>
      <c r="H244" s="76"/>
      <c r="I244" s="77">
        <f t="shared" si="16"/>
        <v>0</v>
      </c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9"/>
      <c r="V244" s="82">
        <f t="shared" si="17"/>
        <v>0</v>
      </c>
      <c r="W244" s="13" t="str">
        <f t="shared" si="18"/>
        <v>P</v>
      </c>
      <c r="X244" s="36"/>
    </row>
    <row r="245" spans="2:24" ht="20.100000000000001" customHeight="1" x14ac:dyDescent="0.25">
      <c r="B245" s="32">
        <v>235</v>
      </c>
      <c r="C245" s="11"/>
      <c r="D245" s="33"/>
      <c r="E245" s="34"/>
      <c r="F245" s="35"/>
      <c r="G245" s="76"/>
      <c r="H245" s="76"/>
      <c r="I245" s="77">
        <f t="shared" si="16"/>
        <v>0</v>
      </c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9"/>
      <c r="V245" s="82">
        <f t="shared" si="17"/>
        <v>0</v>
      </c>
      <c r="W245" s="13" t="str">
        <f t="shared" si="18"/>
        <v>P</v>
      </c>
      <c r="X245" s="36"/>
    </row>
    <row r="246" spans="2:24" ht="20.100000000000001" customHeight="1" x14ac:dyDescent="0.25">
      <c r="B246" s="32">
        <v>236</v>
      </c>
      <c r="C246" s="11"/>
      <c r="D246" s="33"/>
      <c r="E246" s="34"/>
      <c r="F246" s="35"/>
      <c r="G246" s="76"/>
      <c r="H246" s="76"/>
      <c r="I246" s="77">
        <f t="shared" si="16"/>
        <v>0</v>
      </c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9"/>
      <c r="V246" s="82">
        <f t="shared" si="17"/>
        <v>0</v>
      </c>
      <c r="W246" s="13" t="str">
        <f t="shared" si="18"/>
        <v>P</v>
      </c>
      <c r="X246" s="36"/>
    </row>
    <row r="247" spans="2:24" ht="20.100000000000001" customHeight="1" x14ac:dyDescent="0.25">
      <c r="B247" s="32">
        <v>237</v>
      </c>
      <c r="C247" s="11"/>
      <c r="D247" s="33"/>
      <c r="E247" s="34"/>
      <c r="F247" s="35"/>
      <c r="G247" s="76"/>
      <c r="H247" s="76"/>
      <c r="I247" s="77">
        <f t="shared" si="16"/>
        <v>0</v>
      </c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9"/>
      <c r="V247" s="82">
        <f t="shared" si="17"/>
        <v>0</v>
      </c>
      <c r="W247" s="13" t="str">
        <f t="shared" si="18"/>
        <v>P</v>
      </c>
      <c r="X247" s="36"/>
    </row>
    <row r="248" spans="2:24" ht="20.100000000000001" customHeight="1" x14ac:dyDescent="0.25">
      <c r="B248" s="32">
        <v>238</v>
      </c>
      <c r="C248" s="11"/>
      <c r="D248" s="33"/>
      <c r="E248" s="34"/>
      <c r="F248" s="35"/>
      <c r="G248" s="76"/>
      <c r="H248" s="76"/>
      <c r="I248" s="77">
        <f t="shared" si="16"/>
        <v>0</v>
      </c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9"/>
      <c r="V248" s="82">
        <f t="shared" si="17"/>
        <v>0</v>
      </c>
      <c r="W248" s="13" t="str">
        <f t="shared" si="18"/>
        <v>P</v>
      </c>
      <c r="X248" s="36"/>
    </row>
    <row r="249" spans="2:24" ht="20.100000000000001" customHeight="1" x14ac:dyDescent="0.25">
      <c r="B249" s="32">
        <v>239</v>
      </c>
      <c r="C249" s="11"/>
      <c r="D249" s="33"/>
      <c r="E249" s="34"/>
      <c r="F249" s="35"/>
      <c r="G249" s="76"/>
      <c r="H249" s="76"/>
      <c r="I249" s="77">
        <f t="shared" si="16"/>
        <v>0</v>
      </c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9"/>
      <c r="V249" s="82">
        <f t="shared" si="17"/>
        <v>0</v>
      </c>
      <c r="W249" s="13" t="str">
        <f t="shared" si="18"/>
        <v>P</v>
      </c>
      <c r="X249" s="36"/>
    </row>
    <row r="250" spans="2:24" ht="20.100000000000001" customHeight="1" x14ac:dyDescent="0.25">
      <c r="B250" s="32">
        <v>240</v>
      </c>
      <c r="C250" s="11"/>
      <c r="D250" s="33"/>
      <c r="E250" s="34"/>
      <c r="F250" s="35"/>
      <c r="G250" s="76"/>
      <c r="H250" s="76"/>
      <c r="I250" s="77">
        <f t="shared" si="16"/>
        <v>0</v>
      </c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9"/>
      <c r="V250" s="82">
        <f t="shared" si="17"/>
        <v>0</v>
      </c>
      <c r="W250" s="13" t="str">
        <f t="shared" si="18"/>
        <v>P</v>
      </c>
      <c r="X250" s="36"/>
    </row>
    <row r="251" spans="2:24" ht="20.100000000000001" customHeight="1" x14ac:dyDescent="0.25">
      <c r="B251" s="32">
        <v>241</v>
      </c>
      <c r="C251" s="11"/>
      <c r="D251" s="33"/>
      <c r="E251" s="34"/>
      <c r="F251" s="35"/>
      <c r="G251" s="76"/>
      <c r="H251" s="76"/>
      <c r="I251" s="77">
        <f t="shared" si="16"/>
        <v>0</v>
      </c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9"/>
      <c r="V251" s="82">
        <f t="shared" si="17"/>
        <v>0</v>
      </c>
      <c r="W251" s="13" t="str">
        <f t="shared" si="18"/>
        <v>P</v>
      </c>
      <c r="X251" s="36"/>
    </row>
    <row r="252" spans="2:24" ht="20.100000000000001" customHeight="1" x14ac:dyDescent="0.25">
      <c r="B252" s="32">
        <v>242</v>
      </c>
      <c r="C252" s="11"/>
      <c r="D252" s="33"/>
      <c r="E252" s="34"/>
      <c r="F252" s="35"/>
      <c r="G252" s="76"/>
      <c r="H252" s="76"/>
      <c r="I252" s="77">
        <f t="shared" si="16"/>
        <v>0</v>
      </c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9"/>
      <c r="V252" s="82">
        <f t="shared" si="17"/>
        <v>0</v>
      </c>
      <c r="W252" s="13" t="str">
        <f t="shared" si="18"/>
        <v>P</v>
      </c>
      <c r="X252" s="36"/>
    </row>
    <row r="253" spans="2:24" ht="20.100000000000001" customHeight="1" x14ac:dyDescent="0.25">
      <c r="B253" s="32">
        <v>243</v>
      </c>
      <c r="C253" s="11"/>
      <c r="D253" s="33"/>
      <c r="E253" s="34"/>
      <c r="F253" s="35"/>
      <c r="G253" s="76"/>
      <c r="H253" s="76"/>
      <c r="I253" s="77">
        <f t="shared" si="16"/>
        <v>0</v>
      </c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9"/>
      <c r="V253" s="82">
        <f t="shared" si="17"/>
        <v>0</v>
      </c>
      <c r="W253" s="13" t="str">
        <f t="shared" si="18"/>
        <v>P</v>
      </c>
      <c r="X253" s="36"/>
    </row>
    <row r="254" spans="2:24" ht="20.100000000000001" customHeight="1" x14ac:dyDescent="0.25">
      <c r="B254" s="32">
        <v>244</v>
      </c>
      <c r="C254" s="11"/>
      <c r="D254" s="33"/>
      <c r="E254" s="34"/>
      <c r="F254" s="35"/>
      <c r="G254" s="76"/>
      <c r="H254" s="76"/>
      <c r="I254" s="77">
        <f t="shared" si="16"/>
        <v>0</v>
      </c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9"/>
      <c r="V254" s="82">
        <f t="shared" si="17"/>
        <v>0</v>
      </c>
      <c r="W254" s="13" t="str">
        <f t="shared" si="18"/>
        <v>P</v>
      </c>
      <c r="X254" s="36"/>
    </row>
    <row r="255" spans="2:24" ht="20.100000000000001" customHeight="1" x14ac:dyDescent="0.25">
      <c r="B255" s="32">
        <v>245</v>
      </c>
      <c r="C255" s="11"/>
      <c r="D255" s="33"/>
      <c r="E255" s="34"/>
      <c r="F255" s="35"/>
      <c r="G255" s="76"/>
      <c r="H255" s="76"/>
      <c r="I255" s="77">
        <f t="shared" si="16"/>
        <v>0</v>
      </c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9"/>
      <c r="V255" s="82">
        <f t="shared" si="17"/>
        <v>0</v>
      </c>
      <c r="W255" s="13" t="str">
        <f t="shared" si="18"/>
        <v>P</v>
      </c>
      <c r="X255" s="36"/>
    </row>
    <row r="256" spans="2:24" ht="20.100000000000001" customHeight="1" x14ac:dyDescent="0.25">
      <c r="B256" s="32">
        <v>246</v>
      </c>
      <c r="C256" s="11"/>
      <c r="D256" s="33"/>
      <c r="E256" s="34"/>
      <c r="F256" s="35"/>
      <c r="G256" s="76"/>
      <c r="H256" s="76"/>
      <c r="I256" s="77">
        <f t="shared" si="16"/>
        <v>0</v>
      </c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9"/>
      <c r="V256" s="82">
        <f t="shared" si="17"/>
        <v>0</v>
      </c>
      <c r="W256" s="13" t="str">
        <f t="shared" si="18"/>
        <v>P</v>
      </c>
      <c r="X256" s="36"/>
    </row>
    <row r="257" spans="2:24" ht="20.100000000000001" customHeight="1" x14ac:dyDescent="0.25">
      <c r="B257" s="32">
        <v>247</v>
      </c>
      <c r="C257" s="11"/>
      <c r="D257" s="33"/>
      <c r="E257" s="34"/>
      <c r="F257" s="35"/>
      <c r="G257" s="76"/>
      <c r="H257" s="76"/>
      <c r="I257" s="77">
        <f t="shared" si="16"/>
        <v>0</v>
      </c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9"/>
      <c r="V257" s="82">
        <f t="shared" si="17"/>
        <v>0</v>
      </c>
      <c r="W257" s="13" t="str">
        <f t="shared" si="18"/>
        <v>P</v>
      </c>
      <c r="X257" s="36"/>
    </row>
    <row r="258" spans="2:24" ht="20.100000000000001" customHeight="1" x14ac:dyDescent="0.25">
      <c r="B258" s="32">
        <v>248</v>
      </c>
      <c r="C258" s="11"/>
      <c r="D258" s="33"/>
      <c r="E258" s="34"/>
      <c r="F258" s="35"/>
      <c r="G258" s="76"/>
      <c r="H258" s="76"/>
      <c r="I258" s="77">
        <f t="shared" si="16"/>
        <v>0</v>
      </c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9"/>
      <c r="V258" s="82">
        <f t="shared" si="17"/>
        <v>0</v>
      </c>
      <c r="W258" s="13" t="str">
        <f t="shared" si="18"/>
        <v>P</v>
      </c>
      <c r="X258" s="36"/>
    </row>
    <row r="259" spans="2:24" ht="20.100000000000001" customHeight="1" x14ac:dyDescent="0.25">
      <c r="B259" s="32">
        <v>249</v>
      </c>
      <c r="C259" s="11"/>
      <c r="D259" s="33"/>
      <c r="E259" s="34"/>
      <c r="F259" s="35"/>
      <c r="G259" s="76"/>
      <c r="H259" s="76"/>
      <c r="I259" s="77">
        <f t="shared" si="16"/>
        <v>0</v>
      </c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9"/>
      <c r="V259" s="82">
        <f t="shared" si="17"/>
        <v>0</v>
      </c>
      <c r="W259" s="13" t="str">
        <f t="shared" si="18"/>
        <v>P</v>
      </c>
      <c r="X259" s="36"/>
    </row>
    <row r="260" spans="2:24" ht="20.100000000000001" customHeight="1" x14ac:dyDescent="0.25">
      <c r="B260" s="32">
        <v>250</v>
      </c>
      <c r="C260" s="11"/>
      <c r="D260" s="33"/>
      <c r="E260" s="34"/>
      <c r="F260" s="35"/>
      <c r="G260" s="76"/>
      <c r="H260" s="76"/>
      <c r="I260" s="77">
        <f t="shared" si="16"/>
        <v>0</v>
      </c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9"/>
      <c r="V260" s="82">
        <f t="shared" si="17"/>
        <v>0</v>
      </c>
      <c r="W260" s="13" t="str">
        <f t="shared" si="18"/>
        <v>P</v>
      </c>
      <c r="X260" s="36"/>
    </row>
    <row r="261" spans="2:24" ht="20.100000000000001" customHeight="1" x14ac:dyDescent="0.25">
      <c r="B261" s="32">
        <v>251</v>
      </c>
      <c r="C261" s="11"/>
      <c r="D261" s="33"/>
      <c r="E261" s="34"/>
      <c r="F261" s="35"/>
      <c r="G261" s="76"/>
      <c r="H261" s="76"/>
      <c r="I261" s="77">
        <f t="shared" si="16"/>
        <v>0</v>
      </c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9"/>
      <c r="V261" s="82">
        <f t="shared" si="17"/>
        <v>0</v>
      </c>
      <c r="W261" s="13" t="str">
        <f t="shared" si="18"/>
        <v>P</v>
      </c>
      <c r="X261" s="36"/>
    </row>
    <row r="262" spans="2:24" ht="20.100000000000001" customHeight="1" x14ac:dyDescent="0.25">
      <c r="B262" s="32">
        <v>252</v>
      </c>
      <c r="C262" s="11"/>
      <c r="D262" s="33"/>
      <c r="E262" s="34"/>
      <c r="F262" s="35"/>
      <c r="G262" s="76"/>
      <c r="H262" s="76"/>
      <c r="I262" s="77">
        <f t="shared" si="16"/>
        <v>0</v>
      </c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9"/>
      <c r="V262" s="82">
        <f t="shared" si="17"/>
        <v>0</v>
      </c>
      <c r="W262" s="13" t="str">
        <f t="shared" si="18"/>
        <v>P</v>
      </c>
      <c r="X262" s="36"/>
    </row>
    <row r="263" spans="2:24" ht="20.100000000000001" customHeight="1" x14ac:dyDescent="0.25">
      <c r="B263" s="32">
        <v>253</v>
      </c>
      <c r="C263" s="11"/>
      <c r="D263" s="33"/>
      <c r="E263" s="34"/>
      <c r="F263" s="35"/>
      <c r="G263" s="76"/>
      <c r="H263" s="76"/>
      <c r="I263" s="77">
        <f t="shared" si="16"/>
        <v>0</v>
      </c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9"/>
      <c r="V263" s="82">
        <f t="shared" si="17"/>
        <v>0</v>
      </c>
      <c r="W263" s="13" t="str">
        <f t="shared" si="18"/>
        <v>P</v>
      </c>
      <c r="X263" s="36"/>
    </row>
    <row r="264" spans="2:24" ht="20.100000000000001" customHeight="1" x14ac:dyDescent="0.25">
      <c r="B264" s="32">
        <v>254</v>
      </c>
      <c r="C264" s="11"/>
      <c r="D264" s="33"/>
      <c r="E264" s="34"/>
      <c r="F264" s="35"/>
      <c r="G264" s="76"/>
      <c r="H264" s="76"/>
      <c r="I264" s="77">
        <f t="shared" si="16"/>
        <v>0</v>
      </c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9"/>
      <c r="V264" s="82">
        <f t="shared" si="17"/>
        <v>0</v>
      </c>
      <c r="W264" s="13" t="str">
        <f t="shared" si="18"/>
        <v>P</v>
      </c>
      <c r="X264" s="36"/>
    </row>
    <row r="265" spans="2:24" ht="20.100000000000001" customHeight="1" x14ac:dyDescent="0.25">
      <c r="B265" s="32">
        <v>255</v>
      </c>
      <c r="C265" s="11"/>
      <c r="D265" s="33"/>
      <c r="E265" s="34"/>
      <c r="F265" s="35"/>
      <c r="G265" s="76"/>
      <c r="H265" s="76"/>
      <c r="I265" s="77">
        <f t="shared" si="16"/>
        <v>0</v>
      </c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9"/>
      <c r="V265" s="82">
        <f t="shared" si="17"/>
        <v>0</v>
      </c>
      <c r="W265" s="13" t="str">
        <f t="shared" si="18"/>
        <v>P</v>
      </c>
      <c r="X265" s="36"/>
    </row>
    <row r="266" spans="2:24" ht="20.100000000000001" customHeight="1" x14ac:dyDescent="0.25">
      <c r="B266" s="32">
        <v>256</v>
      </c>
      <c r="C266" s="11"/>
      <c r="D266" s="33"/>
      <c r="E266" s="34"/>
      <c r="F266" s="35"/>
      <c r="G266" s="76"/>
      <c r="H266" s="76"/>
      <c r="I266" s="77">
        <f t="shared" si="16"/>
        <v>0</v>
      </c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9"/>
      <c r="V266" s="82">
        <f t="shared" si="17"/>
        <v>0</v>
      </c>
      <c r="W266" s="13" t="str">
        <f t="shared" si="18"/>
        <v>P</v>
      </c>
      <c r="X266" s="36"/>
    </row>
    <row r="267" spans="2:24" ht="20.100000000000001" customHeight="1" x14ac:dyDescent="0.25">
      <c r="B267" s="32">
        <v>257</v>
      </c>
      <c r="C267" s="11"/>
      <c r="D267" s="33"/>
      <c r="E267" s="34"/>
      <c r="F267" s="35"/>
      <c r="G267" s="76"/>
      <c r="H267" s="76"/>
      <c r="I267" s="77">
        <f t="shared" si="16"/>
        <v>0</v>
      </c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9"/>
      <c r="V267" s="82">
        <f t="shared" si="17"/>
        <v>0</v>
      </c>
      <c r="W267" s="13" t="str">
        <f t="shared" si="18"/>
        <v>P</v>
      </c>
      <c r="X267" s="36"/>
    </row>
    <row r="268" spans="2:24" ht="20.100000000000001" customHeight="1" x14ac:dyDescent="0.25">
      <c r="B268" s="32">
        <v>258</v>
      </c>
      <c r="C268" s="11"/>
      <c r="D268" s="33"/>
      <c r="E268" s="34"/>
      <c r="F268" s="35"/>
      <c r="G268" s="76"/>
      <c r="H268" s="76"/>
      <c r="I268" s="77">
        <f t="shared" si="16"/>
        <v>0</v>
      </c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9"/>
      <c r="V268" s="82">
        <f t="shared" si="17"/>
        <v>0</v>
      </c>
      <c r="W268" s="13" t="str">
        <f t="shared" si="18"/>
        <v>P</v>
      </c>
      <c r="X268" s="36"/>
    </row>
    <row r="269" spans="2:24" ht="20.100000000000001" customHeight="1" x14ac:dyDescent="0.25">
      <c r="B269" s="32">
        <v>259</v>
      </c>
      <c r="C269" s="11"/>
      <c r="D269" s="33"/>
      <c r="E269" s="34"/>
      <c r="F269" s="35"/>
      <c r="G269" s="76"/>
      <c r="H269" s="76"/>
      <c r="I269" s="77">
        <f t="shared" si="16"/>
        <v>0</v>
      </c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9"/>
      <c r="V269" s="82">
        <f t="shared" si="17"/>
        <v>0</v>
      </c>
      <c r="W269" s="13" t="str">
        <f t="shared" si="18"/>
        <v>P</v>
      </c>
      <c r="X269" s="36"/>
    </row>
    <row r="270" spans="2:24" ht="20.100000000000001" customHeight="1" x14ac:dyDescent="0.25">
      <c r="B270" s="32">
        <v>260</v>
      </c>
      <c r="C270" s="11"/>
      <c r="D270" s="33"/>
      <c r="E270" s="34"/>
      <c r="F270" s="35"/>
      <c r="G270" s="76"/>
      <c r="H270" s="76"/>
      <c r="I270" s="77">
        <f t="shared" si="16"/>
        <v>0</v>
      </c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9"/>
      <c r="V270" s="82">
        <f t="shared" si="17"/>
        <v>0</v>
      </c>
      <c r="W270" s="13" t="str">
        <f t="shared" si="18"/>
        <v>P</v>
      </c>
      <c r="X270" s="36"/>
    </row>
    <row r="271" spans="2:24" ht="20.100000000000001" customHeight="1" x14ac:dyDescent="0.25">
      <c r="B271" s="32">
        <v>261</v>
      </c>
      <c r="C271" s="11"/>
      <c r="D271" s="33"/>
      <c r="E271" s="34"/>
      <c r="F271" s="35"/>
      <c r="G271" s="76"/>
      <c r="H271" s="76"/>
      <c r="I271" s="77">
        <f t="shared" si="16"/>
        <v>0</v>
      </c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9"/>
      <c r="V271" s="82">
        <f t="shared" si="17"/>
        <v>0</v>
      </c>
      <c r="W271" s="13" t="str">
        <f t="shared" si="18"/>
        <v>P</v>
      </c>
      <c r="X271" s="36"/>
    </row>
    <row r="272" spans="2:24" ht="20.100000000000001" customHeight="1" x14ac:dyDescent="0.25">
      <c r="B272" s="32">
        <v>262</v>
      </c>
      <c r="C272" s="11"/>
      <c r="D272" s="33"/>
      <c r="E272" s="34"/>
      <c r="F272" s="35"/>
      <c r="G272" s="76"/>
      <c r="H272" s="76"/>
      <c r="I272" s="77">
        <f t="shared" ref="I272:I310" si="19">G272*H272</f>
        <v>0</v>
      </c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9"/>
      <c r="V272" s="82">
        <f t="shared" ref="V272:V295" si="20">SUM(J272:U272)</f>
        <v>0</v>
      </c>
      <c r="W272" s="13" t="str">
        <f t="shared" ref="W272:W295" si="21">IF(I272=V272,"P","O")</f>
        <v>P</v>
      </c>
      <c r="X272" s="36"/>
    </row>
    <row r="273" spans="2:24" ht="20.100000000000001" customHeight="1" x14ac:dyDescent="0.25">
      <c r="B273" s="32">
        <v>263</v>
      </c>
      <c r="C273" s="11"/>
      <c r="D273" s="33"/>
      <c r="E273" s="34"/>
      <c r="F273" s="35"/>
      <c r="G273" s="76"/>
      <c r="H273" s="76"/>
      <c r="I273" s="77">
        <f t="shared" si="19"/>
        <v>0</v>
      </c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9"/>
      <c r="V273" s="82">
        <f t="shared" si="20"/>
        <v>0</v>
      </c>
      <c r="W273" s="13" t="str">
        <f t="shared" si="21"/>
        <v>P</v>
      </c>
      <c r="X273" s="36"/>
    </row>
    <row r="274" spans="2:24" ht="20.100000000000001" customHeight="1" x14ac:dyDescent="0.25">
      <c r="B274" s="32">
        <v>264</v>
      </c>
      <c r="C274" s="11"/>
      <c r="D274" s="33"/>
      <c r="E274" s="34"/>
      <c r="F274" s="35"/>
      <c r="G274" s="76"/>
      <c r="H274" s="76"/>
      <c r="I274" s="77">
        <f t="shared" si="19"/>
        <v>0</v>
      </c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9"/>
      <c r="V274" s="82">
        <f t="shared" si="20"/>
        <v>0</v>
      </c>
      <c r="W274" s="13" t="str">
        <f t="shared" si="21"/>
        <v>P</v>
      </c>
      <c r="X274" s="36"/>
    </row>
    <row r="275" spans="2:24" ht="20.100000000000001" customHeight="1" x14ac:dyDescent="0.25">
      <c r="B275" s="32">
        <v>265</v>
      </c>
      <c r="C275" s="11"/>
      <c r="D275" s="33"/>
      <c r="E275" s="34"/>
      <c r="F275" s="35"/>
      <c r="G275" s="76"/>
      <c r="H275" s="76"/>
      <c r="I275" s="77">
        <f t="shared" si="19"/>
        <v>0</v>
      </c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9"/>
      <c r="V275" s="82">
        <f t="shared" si="20"/>
        <v>0</v>
      </c>
      <c r="W275" s="13" t="str">
        <f t="shared" si="21"/>
        <v>P</v>
      </c>
      <c r="X275" s="36"/>
    </row>
    <row r="276" spans="2:24" ht="20.100000000000001" customHeight="1" x14ac:dyDescent="0.25">
      <c r="B276" s="32">
        <v>266</v>
      </c>
      <c r="C276" s="11"/>
      <c r="D276" s="33"/>
      <c r="E276" s="34"/>
      <c r="F276" s="35"/>
      <c r="G276" s="76"/>
      <c r="H276" s="76"/>
      <c r="I276" s="77">
        <f t="shared" si="19"/>
        <v>0</v>
      </c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9"/>
      <c r="V276" s="82">
        <f t="shared" si="20"/>
        <v>0</v>
      </c>
      <c r="W276" s="13" t="str">
        <f t="shared" si="21"/>
        <v>P</v>
      </c>
      <c r="X276" s="36"/>
    </row>
    <row r="277" spans="2:24" ht="20.100000000000001" customHeight="1" x14ac:dyDescent="0.25">
      <c r="B277" s="32">
        <v>267</v>
      </c>
      <c r="C277" s="11"/>
      <c r="D277" s="33"/>
      <c r="E277" s="34"/>
      <c r="F277" s="35"/>
      <c r="G277" s="76"/>
      <c r="H277" s="76"/>
      <c r="I277" s="77">
        <f t="shared" si="19"/>
        <v>0</v>
      </c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9"/>
      <c r="V277" s="82">
        <f t="shared" si="20"/>
        <v>0</v>
      </c>
      <c r="W277" s="13" t="str">
        <f t="shared" si="21"/>
        <v>P</v>
      </c>
      <c r="X277" s="36"/>
    </row>
    <row r="278" spans="2:24" ht="20.100000000000001" customHeight="1" x14ac:dyDescent="0.25">
      <c r="B278" s="32">
        <v>268</v>
      </c>
      <c r="C278" s="11"/>
      <c r="D278" s="33"/>
      <c r="E278" s="34"/>
      <c r="F278" s="35"/>
      <c r="G278" s="76"/>
      <c r="H278" s="76"/>
      <c r="I278" s="77">
        <f t="shared" si="19"/>
        <v>0</v>
      </c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9"/>
      <c r="V278" s="82">
        <f t="shared" si="20"/>
        <v>0</v>
      </c>
      <c r="W278" s="13" t="str">
        <f t="shared" si="21"/>
        <v>P</v>
      </c>
      <c r="X278" s="36"/>
    </row>
    <row r="279" spans="2:24" ht="20.100000000000001" customHeight="1" x14ac:dyDescent="0.25">
      <c r="B279" s="32">
        <v>269</v>
      </c>
      <c r="C279" s="11"/>
      <c r="D279" s="33"/>
      <c r="E279" s="34"/>
      <c r="F279" s="35"/>
      <c r="G279" s="76"/>
      <c r="H279" s="76"/>
      <c r="I279" s="77">
        <f t="shared" si="19"/>
        <v>0</v>
      </c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9"/>
      <c r="V279" s="82">
        <f t="shared" si="20"/>
        <v>0</v>
      </c>
      <c r="W279" s="13" t="str">
        <f t="shared" si="21"/>
        <v>P</v>
      </c>
      <c r="X279" s="36"/>
    </row>
    <row r="280" spans="2:24" ht="20.100000000000001" customHeight="1" x14ac:dyDescent="0.25">
      <c r="B280" s="32">
        <v>270</v>
      </c>
      <c r="C280" s="11"/>
      <c r="D280" s="33"/>
      <c r="E280" s="34"/>
      <c r="F280" s="35"/>
      <c r="G280" s="76"/>
      <c r="H280" s="76"/>
      <c r="I280" s="77">
        <f t="shared" si="19"/>
        <v>0</v>
      </c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9"/>
      <c r="V280" s="82">
        <f t="shared" si="20"/>
        <v>0</v>
      </c>
      <c r="W280" s="13" t="str">
        <f t="shared" si="21"/>
        <v>P</v>
      </c>
      <c r="X280" s="36"/>
    </row>
    <row r="281" spans="2:24" ht="20.100000000000001" customHeight="1" x14ac:dyDescent="0.25">
      <c r="B281" s="32">
        <v>271</v>
      </c>
      <c r="C281" s="11"/>
      <c r="D281" s="33"/>
      <c r="E281" s="34"/>
      <c r="F281" s="35"/>
      <c r="G281" s="76"/>
      <c r="H281" s="76"/>
      <c r="I281" s="77">
        <f t="shared" si="19"/>
        <v>0</v>
      </c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9"/>
      <c r="V281" s="82">
        <f t="shared" si="20"/>
        <v>0</v>
      </c>
      <c r="W281" s="13" t="str">
        <f t="shared" si="21"/>
        <v>P</v>
      </c>
      <c r="X281" s="36"/>
    </row>
    <row r="282" spans="2:24" ht="20.100000000000001" customHeight="1" x14ac:dyDescent="0.25">
      <c r="B282" s="32">
        <v>272</v>
      </c>
      <c r="C282" s="11"/>
      <c r="D282" s="33"/>
      <c r="E282" s="34"/>
      <c r="F282" s="35"/>
      <c r="G282" s="76"/>
      <c r="H282" s="76"/>
      <c r="I282" s="77">
        <f t="shared" si="19"/>
        <v>0</v>
      </c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9"/>
      <c r="V282" s="82">
        <f t="shared" si="20"/>
        <v>0</v>
      </c>
      <c r="W282" s="13" t="str">
        <f t="shared" si="21"/>
        <v>P</v>
      </c>
      <c r="X282" s="36"/>
    </row>
    <row r="283" spans="2:24" ht="20.100000000000001" customHeight="1" x14ac:dyDescent="0.25">
      <c r="B283" s="32">
        <v>273</v>
      </c>
      <c r="C283" s="11"/>
      <c r="D283" s="33"/>
      <c r="E283" s="34"/>
      <c r="F283" s="35"/>
      <c r="G283" s="76"/>
      <c r="H283" s="76"/>
      <c r="I283" s="77">
        <f t="shared" si="19"/>
        <v>0</v>
      </c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9"/>
      <c r="V283" s="82">
        <f t="shared" si="20"/>
        <v>0</v>
      </c>
      <c r="W283" s="13" t="str">
        <f t="shared" si="21"/>
        <v>P</v>
      </c>
      <c r="X283" s="36"/>
    </row>
    <row r="284" spans="2:24" ht="20.100000000000001" customHeight="1" x14ac:dyDescent="0.25">
      <c r="B284" s="32">
        <v>274</v>
      </c>
      <c r="C284" s="11"/>
      <c r="D284" s="33"/>
      <c r="E284" s="34"/>
      <c r="F284" s="35"/>
      <c r="G284" s="76"/>
      <c r="H284" s="76"/>
      <c r="I284" s="77">
        <f t="shared" si="19"/>
        <v>0</v>
      </c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9"/>
      <c r="V284" s="82">
        <f t="shared" si="20"/>
        <v>0</v>
      </c>
      <c r="W284" s="13" t="str">
        <f t="shared" si="21"/>
        <v>P</v>
      </c>
      <c r="X284" s="36"/>
    </row>
    <row r="285" spans="2:24" ht="20.100000000000001" customHeight="1" x14ac:dyDescent="0.25">
      <c r="B285" s="32">
        <v>275</v>
      </c>
      <c r="C285" s="11"/>
      <c r="D285" s="33"/>
      <c r="E285" s="34"/>
      <c r="F285" s="35"/>
      <c r="G285" s="76"/>
      <c r="H285" s="76"/>
      <c r="I285" s="77">
        <f t="shared" si="19"/>
        <v>0</v>
      </c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9"/>
      <c r="V285" s="82">
        <f t="shared" si="20"/>
        <v>0</v>
      </c>
      <c r="W285" s="13" t="str">
        <f t="shared" si="21"/>
        <v>P</v>
      </c>
      <c r="X285" s="36"/>
    </row>
    <row r="286" spans="2:24" ht="20.100000000000001" customHeight="1" x14ac:dyDescent="0.25">
      <c r="B286" s="32">
        <v>276</v>
      </c>
      <c r="C286" s="11"/>
      <c r="D286" s="33"/>
      <c r="E286" s="34"/>
      <c r="F286" s="35"/>
      <c r="G286" s="76"/>
      <c r="H286" s="76"/>
      <c r="I286" s="77">
        <f t="shared" si="19"/>
        <v>0</v>
      </c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9"/>
      <c r="V286" s="82">
        <f t="shared" si="20"/>
        <v>0</v>
      </c>
      <c r="W286" s="13" t="str">
        <f t="shared" si="21"/>
        <v>P</v>
      </c>
      <c r="X286" s="36"/>
    </row>
    <row r="287" spans="2:24" ht="20.100000000000001" customHeight="1" x14ac:dyDescent="0.25">
      <c r="B287" s="32">
        <v>277</v>
      </c>
      <c r="C287" s="11"/>
      <c r="D287" s="33"/>
      <c r="E287" s="34"/>
      <c r="F287" s="35"/>
      <c r="G287" s="76"/>
      <c r="H287" s="76"/>
      <c r="I287" s="77">
        <f t="shared" si="19"/>
        <v>0</v>
      </c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9"/>
      <c r="V287" s="82">
        <f t="shared" si="20"/>
        <v>0</v>
      </c>
      <c r="W287" s="13" t="str">
        <f t="shared" si="21"/>
        <v>P</v>
      </c>
      <c r="X287" s="36"/>
    </row>
    <row r="288" spans="2:24" ht="20.100000000000001" customHeight="1" x14ac:dyDescent="0.25">
      <c r="B288" s="32">
        <v>278</v>
      </c>
      <c r="C288" s="11"/>
      <c r="D288" s="33"/>
      <c r="E288" s="34"/>
      <c r="F288" s="35"/>
      <c r="G288" s="76"/>
      <c r="H288" s="76"/>
      <c r="I288" s="77">
        <f t="shared" si="19"/>
        <v>0</v>
      </c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9"/>
      <c r="V288" s="82">
        <f t="shared" si="20"/>
        <v>0</v>
      </c>
      <c r="W288" s="13" t="str">
        <f t="shared" si="21"/>
        <v>P</v>
      </c>
      <c r="X288" s="36"/>
    </row>
    <row r="289" spans="2:24" ht="20.100000000000001" customHeight="1" x14ac:dyDescent="0.25">
      <c r="B289" s="32">
        <v>279</v>
      </c>
      <c r="C289" s="11"/>
      <c r="D289" s="33"/>
      <c r="E289" s="34"/>
      <c r="F289" s="35"/>
      <c r="G289" s="76"/>
      <c r="H289" s="76"/>
      <c r="I289" s="77">
        <f t="shared" si="19"/>
        <v>0</v>
      </c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9"/>
      <c r="V289" s="82">
        <f t="shared" si="20"/>
        <v>0</v>
      </c>
      <c r="W289" s="13" t="str">
        <f t="shared" si="21"/>
        <v>P</v>
      </c>
      <c r="X289" s="36"/>
    </row>
    <row r="290" spans="2:24" ht="20.100000000000001" customHeight="1" x14ac:dyDescent="0.25">
      <c r="B290" s="32">
        <v>280</v>
      </c>
      <c r="C290" s="11"/>
      <c r="D290" s="33"/>
      <c r="E290" s="34"/>
      <c r="F290" s="35"/>
      <c r="G290" s="76"/>
      <c r="H290" s="76"/>
      <c r="I290" s="77">
        <f t="shared" si="19"/>
        <v>0</v>
      </c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9"/>
      <c r="V290" s="82">
        <f t="shared" si="20"/>
        <v>0</v>
      </c>
      <c r="W290" s="13" t="str">
        <f t="shared" si="21"/>
        <v>P</v>
      </c>
      <c r="X290" s="36"/>
    </row>
    <row r="291" spans="2:24" ht="20.100000000000001" customHeight="1" x14ac:dyDescent="0.25">
      <c r="B291" s="32">
        <v>281</v>
      </c>
      <c r="C291" s="11"/>
      <c r="D291" s="33"/>
      <c r="E291" s="34"/>
      <c r="F291" s="35"/>
      <c r="G291" s="76"/>
      <c r="H291" s="76"/>
      <c r="I291" s="77">
        <f t="shared" si="19"/>
        <v>0</v>
      </c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9"/>
      <c r="V291" s="82">
        <f t="shared" si="20"/>
        <v>0</v>
      </c>
      <c r="W291" s="13" t="str">
        <f t="shared" si="21"/>
        <v>P</v>
      </c>
      <c r="X291" s="36"/>
    </row>
    <row r="292" spans="2:24" ht="20.100000000000001" customHeight="1" x14ac:dyDescent="0.25">
      <c r="B292" s="32">
        <v>282</v>
      </c>
      <c r="C292" s="11"/>
      <c r="D292" s="33"/>
      <c r="E292" s="34"/>
      <c r="F292" s="35"/>
      <c r="G292" s="76"/>
      <c r="H292" s="76"/>
      <c r="I292" s="77">
        <f t="shared" si="19"/>
        <v>0</v>
      </c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9"/>
      <c r="V292" s="82">
        <f t="shared" si="20"/>
        <v>0</v>
      </c>
      <c r="W292" s="13" t="str">
        <f t="shared" si="21"/>
        <v>P</v>
      </c>
      <c r="X292" s="36"/>
    </row>
    <row r="293" spans="2:24" ht="20.100000000000001" customHeight="1" x14ac:dyDescent="0.25">
      <c r="B293" s="32">
        <v>283</v>
      </c>
      <c r="C293" s="11"/>
      <c r="D293" s="33"/>
      <c r="E293" s="34"/>
      <c r="F293" s="35"/>
      <c r="G293" s="76"/>
      <c r="H293" s="76"/>
      <c r="I293" s="77">
        <f t="shared" si="19"/>
        <v>0</v>
      </c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9"/>
      <c r="V293" s="82">
        <f t="shared" si="20"/>
        <v>0</v>
      </c>
      <c r="W293" s="13" t="str">
        <f t="shared" si="21"/>
        <v>P</v>
      </c>
      <c r="X293" s="36"/>
    </row>
    <row r="294" spans="2:24" ht="20.100000000000001" customHeight="1" x14ac:dyDescent="0.25">
      <c r="B294" s="32">
        <v>284</v>
      </c>
      <c r="C294" s="11"/>
      <c r="D294" s="33"/>
      <c r="E294" s="34"/>
      <c r="F294" s="35"/>
      <c r="G294" s="76"/>
      <c r="H294" s="76"/>
      <c r="I294" s="77">
        <f t="shared" si="19"/>
        <v>0</v>
      </c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9"/>
      <c r="V294" s="82">
        <f t="shared" si="20"/>
        <v>0</v>
      </c>
      <c r="W294" s="13" t="str">
        <f t="shared" si="21"/>
        <v>P</v>
      </c>
      <c r="X294" s="36"/>
    </row>
    <row r="295" spans="2:24" ht="20.100000000000001" customHeight="1" x14ac:dyDescent="0.25">
      <c r="B295" s="32">
        <v>285</v>
      </c>
      <c r="C295" s="11"/>
      <c r="D295" s="33"/>
      <c r="E295" s="34"/>
      <c r="F295" s="35"/>
      <c r="G295" s="76"/>
      <c r="H295" s="76"/>
      <c r="I295" s="77">
        <f t="shared" si="19"/>
        <v>0</v>
      </c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9"/>
      <c r="V295" s="82">
        <f t="shared" si="20"/>
        <v>0</v>
      </c>
      <c r="W295" s="13" t="str">
        <f t="shared" si="21"/>
        <v>P</v>
      </c>
      <c r="X295" s="36"/>
    </row>
    <row r="296" spans="2:24" ht="20.100000000000001" customHeight="1" x14ac:dyDescent="0.25">
      <c r="B296" s="32">
        <v>286</v>
      </c>
      <c r="C296" s="11"/>
      <c r="D296" s="33"/>
      <c r="E296" s="34"/>
      <c r="F296" s="35"/>
      <c r="G296" s="76"/>
      <c r="H296" s="76"/>
      <c r="I296" s="77">
        <f t="shared" si="19"/>
        <v>0</v>
      </c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9"/>
      <c r="V296" s="82">
        <f>SUM(J296:U296)</f>
        <v>0</v>
      </c>
      <c r="W296" s="13" t="str">
        <f>IF(I296=V296,"P","O")</f>
        <v>P</v>
      </c>
      <c r="X296" s="36"/>
    </row>
    <row r="297" spans="2:24" ht="20.100000000000001" customHeight="1" x14ac:dyDescent="0.25">
      <c r="B297" s="32">
        <v>287</v>
      </c>
      <c r="C297" s="11"/>
      <c r="D297" s="33"/>
      <c r="E297" s="34"/>
      <c r="F297" s="35"/>
      <c r="G297" s="76"/>
      <c r="H297" s="76"/>
      <c r="I297" s="77">
        <f t="shared" si="19"/>
        <v>0</v>
      </c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9"/>
      <c r="V297" s="82">
        <f t="shared" ref="V297:V310" si="22">SUM(J297:U297)</f>
        <v>0</v>
      </c>
      <c r="W297" s="13" t="str">
        <f t="shared" ref="W297:W310" si="23">IF(I297=V297,"P","O")</f>
        <v>P</v>
      </c>
      <c r="X297" s="36"/>
    </row>
    <row r="298" spans="2:24" ht="20.100000000000001" customHeight="1" x14ac:dyDescent="0.25">
      <c r="B298" s="32">
        <v>288</v>
      </c>
      <c r="C298" s="11"/>
      <c r="D298" s="33"/>
      <c r="E298" s="34"/>
      <c r="F298" s="35"/>
      <c r="G298" s="76"/>
      <c r="H298" s="76"/>
      <c r="I298" s="77">
        <f t="shared" si="19"/>
        <v>0</v>
      </c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9"/>
      <c r="V298" s="82">
        <f t="shared" si="22"/>
        <v>0</v>
      </c>
      <c r="W298" s="13" t="str">
        <f t="shared" si="23"/>
        <v>P</v>
      </c>
      <c r="X298" s="36"/>
    </row>
    <row r="299" spans="2:24" ht="20.100000000000001" customHeight="1" x14ac:dyDescent="0.25">
      <c r="B299" s="32">
        <v>289</v>
      </c>
      <c r="C299" s="11"/>
      <c r="D299" s="33"/>
      <c r="E299" s="34"/>
      <c r="F299" s="35"/>
      <c r="G299" s="76"/>
      <c r="H299" s="76"/>
      <c r="I299" s="77">
        <f t="shared" si="19"/>
        <v>0</v>
      </c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9"/>
      <c r="V299" s="82">
        <f t="shared" si="22"/>
        <v>0</v>
      </c>
      <c r="W299" s="13" t="str">
        <f t="shared" si="23"/>
        <v>P</v>
      </c>
      <c r="X299" s="36"/>
    </row>
    <row r="300" spans="2:24" ht="20.100000000000001" customHeight="1" x14ac:dyDescent="0.25">
      <c r="B300" s="32">
        <v>290</v>
      </c>
      <c r="C300" s="11"/>
      <c r="D300" s="33"/>
      <c r="E300" s="34"/>
      <c r="F300" s="35"/>
      <c r="G300" s="76"/>
      <c r="H300" s="76"/>
      <c r="I300" s="77">
        <f t="shared" si="19"/>
        <v>0</v>
      </c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9"/>
      <c r="V300" s="82">
        <f t="shared" si="22"/>
        <v>0</v>
      </c>
      <c r="W300" s="13" t="str">
        <f t="shared" si="23"/>
        <v>P</v>
      </c>
      <c r="X300" s="36"/>
    </row>
    <row r="301" spans="2:24" ht="20.100000000000001" customHeight="1" x14ac:dyDescent="0.25">
      <c r="B301" s="32">
        <v>291</v>
      </c>
      <c r="C301" s="11"/>
      <c r="D301" s="33"/>
      <c r="E301" s="34"/>
      <c r="F301" s="35"/>
      <c r="G301" s="76"/>
      <c r="H301" s="76"/>
      <c r="I301" s="77">
        <f t="shared" si="19"/>
        <v>0</v>
      </c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9"/>
      <c r="V301" s="82">
        <f t="shared" si="22"/>
        <v>0</v>
      </c>
      <c r="W301" s="13" t="str">
        <f t="shared" si="23"/>
        <v>P</v>
      </c>
      <c r="X301" s="36"/>
    </row>
    <row r="302" spans="2:24" ht="20.100000000000001" customHeight="1" x14ac:dyDescent="0.25">
      <c r="B302" s="32">
        <v>292</v>
      </c>
      <c r="C302" s="11"/>
      <c r="D302" s="33"/>
      <c r="E302" s="34"/>
      <c r="F302" s="35"/>
      <c r="G302" s="76"/>
      <c r="H302" s="76"/>
      <c r="I302" s="77">
        <f t="shared" si="19"/>
        <v>0</v>
      </c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9"/>
      <c r="V302" s="82">
        <f t="shared" si="22"/>
        <v>0</v>
      </c>
      <c r="W302" s="13" t="str">
        <f t="shared" si="23"/>
        <v>P</v>
      </c>
      <c r="X302" s="36"/>
    </row>
    <row r="303" spans="2:24" ht="20.100000000000001" customHeight="1" x14ac:dyDescent="0.25">
      <c r="B303" s="32">
        <v>293</v>
      </c>
      <c r="C303" s="11"/>
      <c r="D303" s="33"/>
      <c r="E303" s="34"/>
      <c r="F303" s="35"/>
      <c r="G303" s="76"/>
      <c r="H303" s="76"/>
      <c r="I303" s="77">
        <f t="shared" si="19"/>
        <v>0</v>
      </c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9"/>
      <c r="V303" s="82">
        <f t="shared" si="22"/>
        <v>0</v>
      </c>
      <c r="W303" s="13" t="str">
        <f t="shared" si="23"/>
        <v>P</v>
      </c>
      <c r="X303" s="36"/>
    </row>
    <row r="304" spans="2:24" ht="20.100000000000001" customHeight="1" x14ac:dyDescent="0.25">
      <c r="B304" s="32">
        <v>294</v>
      </c>
      <c r="C304" s="11"/>
      <c r="D304" s="33"/>
      <c r="E304" s="34"/>
      <c r="F304" s="35"/>
      <c r="G304" s="76"/>
      <c r="H304" s="76"/>
      <c r="I304" s="77">
        <f t="shared" si="19"/>
        <v>0</v>
      </c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9"/>
      <c r="V304" s="82">
        <f t="shared" si="22"/>
        <v>0</v>
      </c>
      <c r="W304" s="13" t="str">
        <f t="shared" si="23"/>
        <v>P</v>
      </c>
      <c r="X304" s="36"/>
    </row>
    <row r="305" spans="2:24" ht="20.100000000000001" customHeight="1" x14ac:dyDescent="0.25">
      <c r="B305" s="32">
        <v>295</v>
      </c>
      <c r="C305" s="11"/>
      <c r="D305" s="33"/>
      <c r="E305" s="34"/>
      <c r="F305" s="35"/>
      <c r="G305" s="76"/>
      <c r="H305" s="76"/>
      <c r="I305" s="77">
        <f t="shared" si="19"/>
        <v>0</v>
      </c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9"/>
      <c r="V305" s="82">
        <f t="shared" si="22"/>
        <v>0</v>
      </c>
      <c r="W305" s="13" t="str">
        <f t="shared" si="23"/>
        <v>P</v>
      </c>
      <c r="X305" s="36"/>
    </row>
    <row r="306" spans="2:24" ht="20.100000000000001" customHeight="1" x14ac:dyDescent="0.25">
      <c r="B306" s="32">
        <v>296</v>
      </c>
      <c r="C306" s="11"/>
      <c r="D306" s="33"/>
      <c r="E306" s="34"/>
      <c r="F306" s="35"/>
      <c r="G306" s="76"/>
      <c r="H306" s="76"/>
      <c r="I306" s="77">
        <f t="shared" si="19"/>
        <v>0</v>
      </c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9"/>
      <c r="V306" s="82">
        <f t="shared" si="22"/>
        <v>0</v>
      </c>
      <c r="W306" s="13" t="str">
        <f t="shared" si="23"/>
        <v>P</v>
      </c>
      <c r="X306" s="36"/>
    </row>
    <row r="307" spans="2:24" ht="20.100000000000001" customHeight="1" x14ac:dyDescent="0.25">
      <c r="B307" s="32">
        <v>297</v>
      </c>
      <c r="C307" s="11"/>
      <c r="D307" s="33"/>
      <c r="E307" s="34"/>
      <c r="F307" s="35"/>
      <c r="G307" s="76"/>
      <c r="H307" s="76"/>
      <c r="I307" s="77">
        <f t="shared" si="19"/>
        <v>0</v>
      </c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9"/>
      <c r="V307" s="82">
        <f t="shared" si="22"/>
        <v>0</v>
      </c>
      <c r="W307" s="13" t="str">
        <f t="shared" si="23"/>
        <v>P</v>
      </c>
      <c r="X307" s="36"/>
    </row>
    <row r="308" spans="2:24" ht="20.100000000000001" customHeight="1" x14ac:dyDescent="0.25">
      <c r="B308" s="32">
        <v>298</v>
      </c>
      <c r="C308" s="11"/>
      <c r="D308" s="33"/>
      <c r="E308" s="34"/>
      <c r="F308" s="35"/>
      <c r="G308" s="76"/>
      <c r="H308" s="76"/>
      <c r="I308" s="77">
        <f t="shared" si="19"/>
        <v>0</v>
      </c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9"/>
      <c r="V308" s="82">
        <f t="shared" si="22"/>
        <v>0</v>
      </c>
      <c r="W308" s="13" t="str">
        <f t="shared" si="23"/>
        <v>P</v>
      </c>
      <c r="X308" s="36"/>
    </row>
    <row r="309" spans="2:24" ht="20.100000000000001" customHeight="1" x14ac:dyDescent="0.25">
      <c r="B309" s="32">
        <v>299</v>
      </c>
      <c r="C309" s="11"/>
      <c r="D309" s="33"/>
      <c r="E309" s="34"/>
      <c r="F309" s="35"/>
      <c r="G309" s="76"/>
      <c r="H309" s="76"/>
      <c r="I309" s="77">
        <f t="shared" si="19"/>
        <v>0</v>
      </c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9"/>
      <c r="V309" s="82">
        <f t="shared" si="22"/>
        <v>0</v>
      </c>
      <c r="W309" s="13" t="str">
        <f t="shared" si="23"/>
        <v>P</v>
      </c>
      <c r="X309" s="36"/>
    </row>
    <row r="310" spans="2:24" ht="20.100000000000001" customHeight="1" x14ac:dyDescent="0.25">
      <c r="B310" s="32">
        <v>300</v>
      </c>
      <c r="C310" s="11"/>
      <c r="D310" s="33"/>
      <c r="E310" s="34"/>
      <c r="F310" s="35"/>
      <c r="G310" s="76"/>
      <c r="H310" s="76"/>
      <c r="I310" s="77">
        <f t="shared" si="19"/>
        <v>0</v>
      </c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9"/>
      <c r="V310" s="82">
        <f t="shared" si="22"/>
        <v>0</v>
      </c>
      <c r="W310" s="13" t="str">
        <f t="shared" si="23"/>
        <v>P</v>
      </c>
      <c r="X310" s="36"/>
    </row>
    <row r="311" spans="2:24" ht="20.100000000000001" customHeight="1" x14ac:dyDescent="0.25">
      <c r="B311" s="32">
        <v>301</v>
      </c>
      <c r="C311" s="11"/>
      <c r="D311" s="33"/>
      <c r="E311" s="34"/>
      <c r="F311" s="35"/>
      <c r="G311" s="76"/>
      <c r="H311" s="76"/>
      <c r="I311" s="77">
        <f>G311*H311</f>
        <v>0</v>
      </c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9"/>
      <c r="V311" s="82">
        <f t="shared" ref="V311:V342" si="24">SUM(J311:U311)</f>
        <v>0</v>
      </c>
      <c r="W311" s="13" t="str">
        <f t="shared" ref="W311:W342" si="25">IF(I311=V311,"P","O")</f>
        <v>P</v>
      </c>
      <c r="X311" s="36"/>
    </row>
    <row r="312" spans="2:24" ht="20.100000000000001" customHeight="1" x14ac:dyDescent="0.25">
      <c r="B312" s="32">
        <v>302</v>
      </c>
      <c r="C312" s="11"/>
      <c r="D312" s="33"/>
      <c r="E312" s="34"/>
      <c r="F312" s="35"/>
      <c r="G312" s="76"/>
      <c r="H312" s="76"/>
      <c r="I312" s="77">
        <f t="shared" ref="I312:I375" si="26">G312*H312</f>
        <v>0</v>
      </c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9"/>
      <c r="V312" s="82">
        <f t="shared" si="24"/>
        <v>0</v>
      </c>
      <c r="W312" s="13" t="str">
        <f t="shared" si="25"/>
        <v>P</v>
      </c>
      <c r="X312" s="36"/>
    </row>
    <row r="313" spans="2:24" ht="20.100000000000001" customHeight="1" x14ac:dyDescent="0.25">
      <c r="B313" s="32">
        <v>303</v>
      </c>
      <c r="C313" s="11"/>
      <c r="D313" s="33"/>
      <c r="E313" s="34"/>
      <c r="F313" s="35"/>
      <c r="G313" s="76"/>
      <c r="H313" s="76"/>
      <c r="I313" s="77">
        <f t="shared" si="26"/>
        <v>0</v>
      </c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9"/>
      <c r="V313" s="82">
        <f t="shared" si="24"/>
        <v>0</v>
      </c>
      <c r="W313" s="13" t="str">
        <f t="shared" si="25"/>
        <v>P</v>
      </c>
      <c r="X313" s="36"/>
    </row>
    <row r="314" spans="2:24" ht="20.100000000000001" customHeight="1" x14ac:dyDescent="0.25">
      <c r="B314" s="32">
        <v>304</v>
      </c>
      <c r="C314" s="11"/>
      <c r="D314" s="33"/>
      <c r="E314" s="34"/>
      <c r="F314" s="35"/>
      <c r="G314" s="76"/>
      <c r="H314" s="76"/>
      <c r="I314" s="77">
        <f t="shared" si="26"/>
        <v>0</v>
      </c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9"/>
      <c r="V314" s="82">
        <f t="shared" si="24"/>
        <v>0</v>
      </c>
      <c r="W314" s="13" t="str">
        <f t="shared" si="25"/>
        <v>P</v>
      </c>
      <c r="X314" s="36"/>
    </row>
    <row r="315" spans="2:24" ht="20.100000000000001" customHeight="1" x14ac:dyDescent="0.25">
      <c r="B315" s="32">
        <v>305</v>
      </c>
      <c r="C315" s="11"/>
      <c r="D315" s="33"/>
      <c r="E315" s="34"/>
      <c r="F315" s="35"/>
      <c r="G315" s="76"/>
      <c r="H315" s="76"/>
      <c r="I315" s="77">
        <f t="shared" si="26"/>
        <v>0</v>
      </c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9"/>
      <c r="V315" s="82">
        <f t="shared" si="24"/>
        <v>0</v>
      </c>
      <c r="W315" s="13" t="str">
        <f t="shared" si="25"/>
        <v>P</v>
      </c>
      <c r="X315" s="36"/>
    </row>
    <row r="316" spans="2:24" ht="20.100000000000001" customHeight="1" x14ac:dyDescent="0.25">
      <c r="B316" s="32">
        <v>306</v>
      </c>
      <c r="C316" s="11"/>
      <c r="D316" s="33"/>
      <c r="E316" s="34"/>
      <c r="F316" s="35"/>
      <c r="G316" s="76"/>
      <c r="H316" s="76"/>
      <c r="I316" s="77">
        <f t="shared" si="26"/>
        <v>0</v>
      </c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9"/>
      <c r="V316" s="82">
        <f t="shared" si="24"/>
        <v>0</v>
      </c>
      <c r="W316" s="13" t="str">
        <f t="shared" si="25"/>
        <v>P</v>
      </c>
      <c r="X316" s="36"/>
    </row>
    <row r="317" spans="2:24" ht="20.100000000000001" customHeight="1" x14ac:dyDescent="0.25">
      <c r="B317" s="32">
        <v>307</v>
      </c>
      <c r="C317" s="11"/>
      <c r="D317" s="33"/>
      <c r="E317" s="34"/>
      <c r="F317" s="35"/>
      <c r="G317" s="76"/>
      <c r="H317" s="76"/>
      <c r="I317" s="77">
        <f t="shared" si="26"/>
        <v>0</v>
      </c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9"/>
      <c r="V317" s="82">
        <f t="shared" si="24"/>
        <v>0</v>
      </c>
      <c r="W317" s="13" t="str">
        <f t="shared" si="25"/>
        <v>P</v>
      </c>
      <c r="X317" s="36"/>
    </row>
    <row r="318" spans="2:24" ht="20.100000000000001" customHeight="1" x14ac:dyDescent="0.25">
      <c r="B318" s="32">
        <v>308</v>
      </c>
      <c r="C318" s="11"/>
      <c r="D318" s="33"/>
      <c r="E318" s="34"/>
      <c r="F318" s="35"/>
      <c r="G318" s="76"/>
      <c r="H318" s="76"/>
      <c r="I318" s="77">
        <f t="shared" si="26"/>
        <v>0</v>
      </c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9"/>
      <c r="V318" s="82">
        <f t="shared" si="24"/>
        <v>0</v>
      </c>
      <c r="W318" s="13" t="str">
        <f t="shared" si="25"/>
        <v>P</v>
      </c>
      <c r="X318" s="36"/>
    </row>
    <row r="319" spans="2:24" ht="20.100000000000001" customHeight="1" x14ac:dyDescent="0.25">
      <c r="B319" s="32">
        <v>309</v>
      </c>
      <c r="C319" s="11"/>
      <c r="D319" s="33"/>
      <c r="E319" s="34"/>
      <c r="F319" s="35"/>
      <c r="G319" s="76"/>
      <c r="H319" s="76"/>
      <c r="I319" s="77">
        <f t="shared" si="26"/>
        <v>0</v>
      </c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9"/>
      <c r="V319" s="82">
        <f t="shared" si="24"/>
        <v>0</v>
      </c>
      <c r="W319" s="13" t="str">
        <f t="shared" si="25"/>
        <v>P</v>
      </c>
      <c r="X319" s="36"/>
    </row>
    <row r="320" spans="2:24" ht="20.100000000000001" customHeight="1" x14ac:dyDescent="0.25">
      <c r="B320" s="32">
        <v>310</v>
      </c>
      <c r="C320" s="11"/>
      <c r="D320" s="33"/>
      <c r="E320" s="34"/>
      <c r="F320" s="35"/>
      <c r="G320" s="76"/>
      <c r="H320" s="76"/>
      <c r="I320" s="77">
        <f t="shared" si="26"/>
        <v>0</v>
      </c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9"/>
      <c r="V320" s="82">
        <f t="shared" si="24"/>
        <v>0</v>
      </c>
      <c r="W320" s="13" t="str">
        <f t="shared" si="25"/>
        <v>P</v>
      </c>
      <c r="X320" s="36"/>
    </row>
    <row r="321" spans="2:24" ht="20.100000000000001" customHeight="1" x14ac:dyDescent="0.25">
      <c r="B321" s="32">
        <v>311</v>
      </c>
      <c r="C321" s="11"/>
      <c r="D321" s="33"/>
      <c r="E321" s="34"/>
      <c r="F321" s="35"/>
      <c r="G321" s="76"/>
      <c r="H321" s="76"/>
      <c r="I321" s="77">
        <f t="shared" si="26"/>
        <v>0</v>
      </c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9"/>
      <c r="V321" s="82">
        <f t="shared" si="24"/>
        <v>0</v>
      </c>
      <c r="W321" s="13" t="str">
        <f t="shared" si="25"/>
        <v>P</v>
      </c>
      <c r="X321" s="36"/>
    </row>
    <row r="322" spans="2:24" ht="20.100000000000001" customHeight="1" x14ac:dyDescent="0.25">
      <c r="B322" s="32">
        <v>312</v>
      </c>
      <c r="C322" s="11"/>
      <c r="D322" s="33"/>
      <c r="E322" s="34"/>
      <c r="F322" s="35"/>
      <c r="G322" s="76"/>
      <c r="H322" s="76"/>
      <c r="I322" s="77">
        <f t="shared" si="26"/>
        <v>0</v>
      </c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9"/>
      <c r="V322" s="82">
        <f t="shared" si="24"/>
        <v>0</v>
      </c>
      <c r="W322" s="13" t="str">
        <f t="shared" si="25"/>
        <v>P</v>
      </c>
      <c r="X322" s="36"/>
    </row>
    <row r="323" spans="2:24" ht="20.100000000000001" customHeight="1" x14ac:dyDescent="0.25">
      <c r="B323" s="32">
        <v>313</v>
      </c>
      <c r="C323" s="11"/>
      <c r="D323" s="33"/>
      <c r="E323" s="34"/>
      <c r="F323" s="35"/>
      <c r="G323" s="76"/>
      <c r="H323" s="76"/>
      <c r="I323" s="77">
        <f t="shared" si="26"/>
        <v>0</v>
      </c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9"/>
      <c r="V323" s="82">
        <f t="shared" si="24"/>
        <v>0</v>
      </c>
      <c r="W323" s="13" t="str">
        <f t="shared" si="25"/>
        <v>P</v>
      </c>
      <c r="X323" s="36"/>
    </row>
    <row r="324" spans="2:24" ht="20.100000000000001" customHeight="1" x14ac:dyDescent="0.25">
      <c r="B324" s="32">
        <v>314</v>
      </c>
      <c r="C324" s="11"/>
      <c r="D324" s="33"/>
      <c r="E324" s="34"/>
      <c r="F324" s="35"/>
      <c r="G324" s="76"/>
      <c r="H324" s="76"/>
      <c r="I324" s="77">
        <f t="shared" si="26"/>
        <v>0</v>
      </c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9"/>
      <c r="V324" s="82">
        <f t="shared" si="24"/>
        <v>0</v>
      </c>
      <c r="W324" s="13" t="str">
        <f t="shared" si="25"/>
        <v>P</v>
      </c>
      <c r="X324" s="36"/>
    </row>
    <row r="325" spans="2:24" ht="20.100000000000001" customHeight="1" x14ac:dyDescent="0.25">
      <c r="B325" s="32">
        <v>315</v>
      </c>
      <c r="C325" s="11"/>
      <c r="D325" s="33"/>
      <c r="E325" s="34"/>
      <c r="F325" s="35"/>
      <c r="G325" s="76"/>
      <c r="H325" s="76"/>
      <c r="I325" s="77">
        <f t="shared" si="26"/>
        <v>0</v>
      </c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9"/>
      <c r="V325" s="82">
        <f t="shared" si="24"/>
        <v>0</v>
      </c>
      <c r="W325" s="13" t="str">
        <f t="shared" si="25"/>
        <v>P</v>
      </c>
      <c r="X325" s="36"/>
    </row>
    <row r="326" spans="2:24" ht="20.100000000000001" customHeight="1" x14ac:dyDescent="0.25">
      <c r="B326" s="32">
        <v>316</v>
      </c>
      <c r="C326" s="11"/>
      <c r="D326" s="33"/>
      <c r="E326" s="34"/>
      <c r="F326" s="35"/>
      <c r="G326" s="76"/>
      <c r="H326" s="76"/>
      <c r="I326" s="77">
        <f t="shared" si="26"/>
        <v>0</v>
      </c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9"/>
      <c r="V326" s="82">
        <f t="shared" si="24"/>
        <v>0</v>
      </c>
      <c r="W326" s="13" t="str">
        <f t="shared" si="25"/>
        <v>P</v>
      </c>
      <c r="X326" s="36"/>
    </row>
    <row r="327" spans="2:24" ht="20.100000000000001" customHeight="1" x14ac:dyDescent="0.25">
      <c r="B327" s="32">
        <v>317</v>
      </c>
      <c r="C327" s="11"/>
      <c r="D327" s="33"/>
      <c r="E327" s="34"/>
      <c r="F327" s="35"/>
      <c r="G327" s="76"/>
      <c r="H327" s="76"/>
      <c r="I327" s="77">
        <f t="shared" si="26"/>
        <v>0</v>
      </c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9"/>
      <c r="V327" s="82">
        <f t="shared" si="24"/>
        <v>0</v>
      </c>
      <c r="W327" s="13" t="str">
        <f t="shared" si="25"/>
        <v>P</v>
      </c>
      <c r="X327" s="36"/>
    </row>
    <row r="328" spans="2:24" ht="20.100000000000001" customHeight="1" x14ac:dyDescent="0.25">
      <c r="B328" s="32">
        <v>318</v>
      </c>
      <c r="C328" s="11"/>
      <c r="D328" s="33"/>
      <c r="E328" s="34"/>
      <c r="F328" s="35"/>
      <c r="G328" s="76"/>
      <c r="H328" s="76"/>
      <c r="I328" s="77">
        <f t="shared" si="26"/>
        <v>0</v>
      </c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9"/>
      <c r="V328" s="82">
        <f t="shared" si="24"/>
        <v>0</v>
      </c>
      <c r="W328" s="13" t="str">
        <f t="shared" si="25"/>
        <v>P</v>
      </c>
      <c r="X328" s="36"/>
    </row>
    <row r="329" spans="2:24" ht="20.100000000000001" customHeight="1" x14ac:dyDescent="0.25">
      <c r="B329" s="32">
        <v>319</v>
      </c>
      <c r="C329" s="11"/>
      <c r="D329" s="33"/>
      <c r="E329" s="34"/>
      <c r="F329" s="35"/>
      <c r="G329" s="76"/>
      <c r="H329" s="76"/>
      <c r="I329" s="77">
        <f t="shared" si="26"/>
        <v>0</v>
      </c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9"/>
      <c r="V329" s="82">
        <f t="shared" si="24"/>
        <v>0</v>
      </c>
      <c r="W329" s="13" t="str">
        <f t="shared" si="25"/>
        <v>P</v>
      </c>
      <c r="X329" s="36"/>
    </row>
    <row r="330" spans="2:24" ht="20.100000000000001" customHeight="1" x14ac:dyDescent="0.25">
      <c r="B330" s="32">
        <v>320</v>
      </c>
      <c r="C330" s="11"/>
      <c r="D330" s="33"/>
      <c r="E330" s="34"/>
      <c r="F330" s="35"/>
      <c r="G330" s="76"/>
      <c r="H330" s="76"/>
      <c r="I330" s="77">
        <f t="shared" si="26"/>
        <v>0</v>
      </c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9"/>
      <c r="V330" s="82">
        <f t="shared" si="24"/>
        <v>0</v>
      </c>
      <c r="W330" s="13" t="str">
        <f t="shared" si="25"/>
        <v>P</v>
      </c>
      <c r="X330" s="36"/>
    </row>
    <row r="331" spans="2:24" ht="20.100000000000001" customHeight="1" x14ac:dyDescent="0.25">
      <c r="B331" s="32">
        <v>321</v>
      </c>
      <c r="C331" s="11"/>
      <c r="D331" s="33"/>
      <c r="E331" s="34"/>
      <c r="F331" s="35"/>
      <c r="G331" s="76"/>
      <c r="H331" s="76"/>
      <c r="I331" s="77">
        <f t="shared" si="26"/>
        <v>0</v>
      </c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9"/>
      <c r="V331" s="82">
        <f t="shared" si="24"/>
        <v>0</v>
      </c>
      <c r="W331" s="13" t="str">
        <f t="shared" si="25"/>
        <v>P</v>
      </c>
      <c r="X331" s="36"/>
    </row>
    <row r="332" spans="2:24" ht="20.100000000000001" customHeight="1" x14ac:dyDescent="0.25">
      <c r="B332" s="32">
        <v>322</v>
      </c>
      <c r="C332" s="11"/>
      <c r="D332" s="33"/>
      <c r="E332" s="34"/>
      <c r="F332" s="35"/>
      <c r="G332" s="76"/>
      <c r="H332" s="76"/>
      <c r="I332" s="77">
        <f t="shared" si="26"/>
        <v>0</v>
      </c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9"/>
      <c r="V332" s="82">
        <f t="shared" si="24"/>
        <v>0</v>
      </c>
      <c r="W332" s="13" t="str">
        <f t="shared" si="25"/>
        <v>P</v>
      </c>
      <c r="X332" s="36"/>
    </row>
    <row r="333" spans="2:24" ht="20.100000000000001" customHeight="1" x14ac:dyDescent="0.25">
      <c r="B333" s="32">
        <v>323</v>
      </c>
      <c r="C333" s="11"/>
      <c r="D333" s="33"/>
      <c r="E333" s="34"/>
      <c r="F333" s="35"/>
      <c r="G333" s="76"/>
      <c r="H333" s="76"/>
      <c r="I333" s="77">
        <f t="shared" si="26"/>
        <v>0</v>
      </c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9"/>
      <c r="V333" s="82">
        <f t="shared" si="24"/>
        <v>0</v>
      </c>
      <c r="W333" s="13" t="str">
        <f t="shared" si="25"/>
        <v>P</v>
      </c>
      <c r="X333" s="36"/>
    </row>
    <row r="334" spans="2:24" ht="20.100000000000001" customHeight="1" x14ac:dyDescent="0.25">
      <c r="B334" s="32">
        <v>324</v>
      </c>
      <c r="C334" s="11"/>
      <c r="D334" s="33"/>
      <c r="E334" s="34"/>
      <c r="F334" s="35"/>
      <c r="G334" s="76"/>
      <c r="H334" s="76"/>
      <c r="I334" s="77">
        <f t="shared" si="26"/>
        <v>0</v>
      </c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9"/>
      <c r="V334" s="82">
        <f t="shared" si="24"/>
        <v>0</v>
      </c>
      <c r="W334" s="13" t="str">
        <f t="shared" si="25"/>
        <v>P</v>
      </c>
      <c r="X334" s="36"/>
    </row>
    <row r="335" spans="2:24" ht="20.100000000000001" customHeight="1" x14ac:dyDescent="0.25">
      <c r="B335" s="32">
        <v>325</v>
      </c>
      <c r="C335" s="11"/>
      <c r="D335" s="33"/>
      <c r="E335" s="34"/>
      <c r="F335" s="35"/>
      <c r="G335" s="76"/>
      <c r="H335" s="76"/>
      <c r="I335" s="77">
        <f t="shared" si="26"/>
        <v>0</v>
      </c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9"/>
      <c r="V335" s="82">
        <f t="shared" si="24"/>
        <v>0</v>
      </c>
      <c r="W335" s="13" t="str">
        <f t="shared" si="25"/>
        <v>P</v>
      </c>
      <c r="X335" s="36"/>
    </row>
    <row r="336" spans="2:24" ht="20.100000000000001" customHeight="1" x14ac:dyDescent="0.25">
      <c r="B336" s="32">
        <v>326</v>
      </c>
      <c r="C336" s="11"/>
      <c r="D336" s="33"/>
      <c r="E336" s="34"/>
      <c r="F336" s="35"/>
      <c r="G336" s="76"/>
      <c r="H336" s="76"/>
      <c r="I336" s="77">
        <f t="shared" si="26"/>
        <v>0</v>
      </c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9"/>
      <c r="V336" s="82">
        <f t="shared" si="24"/>
        <v>0</v>
      </c>
      <c r="W336" s="13" t="str">
        <f t="shared" si="25"/>
        <v>P</v>
      </c>
      <c r="X336" s="36"/>
    </row>
    <row r="337" spans="2:24" ht="20.100000000000001" customHeight="1" x14ac:dyDescent="0.25">
      <c r="B337" s="32">
        <v>327</v>
      </c>
      <c r="C337" s="11"/>
      <c r="D337" s="33"/>
      <c r="E337" s="34"/>
      <c r="F337" s="35"/>
      <c r="G337" s="76"/>
      <c r="H337" s="76"/>
      <c r="I337" s="77">
        <f t="shared" si="26"/>
        <v>0</v>
      </c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9"/>
      <c r="V337" s="82">
        <f t="shared" si="24"/>
        <v>0</v>
      </c>
      <c r="W337" s="13" t="str">
        <f t="shared" si="25"/>
        <v>P</v>
      </c>
      <c r="X337" s="36"/>
    </row>
    <row r="338" spans="2:24" ht="20.100000000000001" customHeight="1" x14ac:dyDescent="0.25">
      <c r="B338" s="32">
        <v>328</v>
      </c>
      <c r="C338" s="11"/>
      <c r="D338" s="33"/>
      <c r="E338" s="34"/>
      <c r="F338" s="35"/>
      <c r="G338" s="76"/>
      <c r="H338" s="76"/>
      <c r="I338" s="77">
        <f t="shared" si="26"/>
        <v>0</v>
      </c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9"/>
      <c r="V338" s="82">
        <f t="shared" si="24"/>
        <v>0</v>
      </c>
      <c r="W338" s="13" t="str">
        <f t="shared" si="25"/>
        <v>P</v>
      </c>
      <c r="X338" s="36"/>
    </row>
    <row r="339" spans="2:24" ht="20.100000000000001" customHeight="1" x14ac:dyDescent="0.25">
      <c r="B339" s="32">
        <v>329</v>
      </c>
      <c r="C339" s="11"/>
      <c r="D339" s="33"/>
      <c r="E339" s="34"/>
      <c r="F339" s="35"/>
      <c r="G339" s="76"/>
      <c r="H339" s="76"/>
      <c r="I339" s="77">
        <f t="shared" si="26"/>
        <v>0</v>
      </c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9"/>
      <c r="V339" s="82">
        <f t="shared" si="24"/>
        <v>0</v>
      </c>
      <c r="W339" s="13" t="str">
        <f t="shared" si="25"/>
        <v>P</v>
      </c>
      <c r="X339" s="36"/>
    </row>
    <row r="340" spans="2:24" ht="20.100000000000001" customHeight="1" x14ac:dyDescent="0.25">
      <c r="B340" s="32">
        <v>330</v>
      </c>
      <c r="C340" s="11"/>
      <c r="D340" s="33"/>
      <c r="E340" s="34"/>
      <c r="F340" s="35"/>
      <c r="G340" s="76"/>
      <c r="H340" s="76"/>
      <c r="I340" s="77">
        <f t="shared" si="26"/>
        <v>0</v>
      </c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9"/>
      <c r="V340" s="82">
        <f t="shared" si="24"/>
        <v>0</v>
      </c>
      <c r="W340" s="13" t="str">
        <f t="shared" si="25"/>
        <v>P</v>
      </c>
      <c r="X340" s="36"/>
    </row>
    <row r="341" spans="2:24" ht="20.100000000000001" customHeight="1" x14ac:dyDescent="0.25">
      <c r="B341" s="32">
        <v>331</v>
      </c>
      <c r="C341" s="11"/>
      <c r="D341" s="33"/>
      <c r="E341" s="34"/>
      <c r="F341" s="35"/>
      <c r="G341" s="76"/>
      <c r="H341" s="76"/>
      <c r="I341" s="77">
        <f t="shared" si="26"/>
        <v>0</v>
      </c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9"/>
      <c r="V341" s="82">
        <f t="shared" si="24"/>
        <v>0</v>
      </c>
      <c r="W341" s="13" t="str">
        <f t="shared" si="25"/>
        <v>P</v>
      </c>
      <c r="X341" s="36"/>
    </row>
    <row r="342" spans="2:24" ht="20.100000000000001" customHeight="1" x14ac:dyDescent="0.25">
      <c r="B342" s="32">
        <v>332</v>
      </c>
      <c r="C342" s="11"/>
      <c r="D342" s="33"/>
      <c r="E342" s="34"/>
      <c r="F342" s="35"/>
      <c r="G342" s="76"/>
      <c r="H342" s="76"/>
      <c r="I342" s="77">
        <f t="shared" si="26"/>
        <v>0</v>
      </c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9"/>
      <c r="V342" s="82">
        <f t="shared" si="24"/>
        <v>0</v>
      </c>
      <c r="W342" s="13" t="str">
        <f t="shared" si="25"/>
        <v>P</v>
      </c>
      <c r="X342" s="36"/>
    </row>
    <row r="343" spans="2:24" ht="20.100000000000001" customHeight="1" x14ac:dyDescent="0.25">
      <c r="B343" s="32">
        <v>333</v>
      </c>
      <c r="C343" s="11"/>
      <c r="D343" s="33"/>
      <c r="E343" s="34"/>
      <c r="F343" s="35"/>
      <c r="G343" s="76"/>
      <c r="H343" s="76"/>
      <c r="I343" s="77">
        <f t="shared" si="26"/>
        <v>0</v>
      </c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9"/>
      <c r="V343" s="82">
        <f t="shared" ref="V343:V374" si="27">SUM(J343:U343)</f>
        <v>0</v>
      </c>
      <c r="W343" s="13" t="str">
        <f t="shared" ref="W343:W374" si="28">IF(I343=V343,"P","O")</f>
        <v>P</v>
      </c>
      <c r="X343" s="36"/>
    </row>
    <row r="344" spans="2:24" ht="20.100000000000001" customHeight="1" x14ac:dyDescent="0.25">
      <c r="B344" s="32">
        <v>334</v>
      </c>
      <c r="C344" s="11"/>
      <c r="D344" s="33"/>
      <c r="E344" s="34"/>
      <c r="F344" s="35"/>
      <c r="G344" s="76"/>
      <c r="H344" s="76"/>
      <c r="I344" s="77">
        <f t="shared" si="26"/>
        <v>0</v>
      </c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9"/>
      <c r="V344" s="82">
        <f t="shared" si="27"/>
        <v>0</v>
      </c>
      <c r="W344" s="13" t="str">
        <f t="shared" si="28"/>
        <v>P</v>
      </c>
      <c r="X344" s="36"/>
    </row>
    <row r="345" spans="2:24" ht="20.100000000000001" customHeight="1" x14ac:dyDescent="0.25">
      <c r="B345" s="32">
        <v>335</v>
      </c>
      <c r="C345" s="11"/>
      <c r="D345" s="33"/>
      <c r="E345" s="34"/>
      <c r="F345" s="35"/>
      <c r="G345" s="76"/>
      <c r="H345" s="76"/>
      <c r="I345" s="77">
        <f t="shared" si="26"/>
        <v>0</v>
      </c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9"/>
      <c r="V345" s="82">
        <f t="shared" si="27"/>
        <v>0</v>
      </c>
      <c r="W345" s="13" t="str">
        <f t="shared" si="28"/>
        <v>P</v>
      </c>
      <c r="X345" s="36"/>
    </row>
    <row r="346" spans="2:24" ht="20.100000000000001" customHeight="1" x14ac:dyDescent="0.25">
      <c r="B346" s="32">
        <v>336</v>
      </c>
      <c r="C346" s="11"/>
      <c r="D346" s="33"/>
      <c r="E346" s="34"/>
      <c r="F346" s="35"/>
      <c r="G346" s="76"/>
      <c r="H346" s="76"/>
      <c r="I346" s="77">
        <f t="shared" si="26"/>
        <v>0</v>
      </c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9"/>
      <c r="V346" s="82">
        <f t="shared" si="27"/>
        <v>0</v>
      </c>
      <c r="W346" s="13" t="str">
        <f t="shared" si="28"/>
        <v>P</v>
      </c>
      <c r="X346" s="36"/>
    </row>
    <row r="347" spans="2:24" ht="20.100000000000001" customHeight="1" x14ac:dyDescent="0.25">
      <c r="B347" s="32">
        <v>337</v>
      </c>
      <c r="C347" s="11"/>
      <c r="D347" s="33"/>
      <c r="E347" s="34"/>
      <c r="F347" s="35"/>
      <c r="G347" s="76"/>
      <c r="H347" s="76"/>
      <c r="I347" s="77">
        <f t="shared" si="26"/>
        <v>0</v>
      </c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9"/>
      <c r="V347" s="82">
        <f t="shared" si="27"/>
        <v>0</v>
      </c>
      <c r="W347" s="13" t="str">
        <f t="shared" si="28"/>
        <v>P</v>
      </c>
      <c r="X347" s="36"/>
    </row>
    <row r="348" spans="2:24" ht="20.100000000000001" customHeight="1" x14ac:dyDescent="0.25">
      <c r="B348" s="32">
        <v>338</v>
      </c>
      <c r="C348" s="11"/>
      <c r="D348" s="33"/>
      <c r="E348" s="34"/>
      <c r="F348" s="35"/>
      <c r="G348" s="76"/>
      <c r="H348" s="76"/>
      <c r="I348" s="77">
        <f t="shared" si="26"/>
        <v>0</v>
      </c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9"/>
      <c r="V348" s="82">
        <f t="shared" si="27"/>
        <v>0</v>
      </c>
      <c r="W348" s="13" t="str">
        <f t="shared" si="28"/>
        <v>P</v>
      </c>
      <c r="X348" s="36"/>
    </row>
    <row r="349" spans="2:24" ht="20.100000000000001" customHeight="1" x14ac:dyDescent="0.25">
      <c r="B349" s="32">
        <v>339</v>
      </c>
      <c r="C349" s="11"/>
      <c r="D349" s="33"/>
      <c r="E349" s="34"/>
      <c r="F349" s="35"/>
      <c r="G349" s="76"/>
      <c r="H349" s="76"/>
      <c r="I349" s="77">
        <f t="shared" si="26"/>
        <v>0</v>
      </c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9"/>
      <c r="V349" s="82">
        <f t="shared" si="27"/>
        <v>0</v>
      </c>
      <c r="W349" s="13" t="str">
        <f t="shared" si="28"/>
        <v>P</v>
      </c>
      <c r="X349" s="36"/>
    </row>
    <row r="350" spans="2:24" ht="20.100000000000001" customHeight="1" x14ac:dyDescent="0.25">
      <c r="B350" s="32">
        <v>340</v>
      </c>
      <c r="C350" s="11"/>
      <c r="D350" s="33"/>
      <c r="E350" s="34"/>
      <c r="F350" s="35"/>
      <c r="G350" s="76"/>
      <c r="H350" s="76"/>
      <c r="I350" s="77">
        <f t="shared" si="26"/>
        <v>0</v>
      </c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9"/>
      <c r="V350" s="82">
        <f t="shared" si="27"/>
        <v>0</v>
      </c>
      <c r="W350" s="13" t="str">
        <f t="shared" si="28"/>
        <v>P</v>
      </c>
      <c r="X350" s="36"/>
    </row>
    <row r="351" spans="2:24" ht="20.100000000000001" customHeight="1" x14ac:dyDescent="0.25">
      <c r="B351" s="32">
        <v>341</v>
      </c>
      <c r="C351" s="11"/>
      <c r="D351" s="33"/>
      <c r="E351" s="34"/>
      <c r="F351" s="35"/>
      <c r="G351" s="76"/>
      <c r="H351" s="76"/>
      <c r="I351" s="77">
        <f t="shared" si="26"/>
        <v>0</v>
      </c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9"/>
      <c r="V351" s="82">
        <f t="shared" si="27"/>
        <v>0</v>
      </c>
      <c r="W351" s="13" t="str">
        <f t="shared" si="28"/>
        <v>P</v>
      </c>
      <c r="X351" s="36"/>
    </row>
    <row r="352" spans="2:24" ht="20.100000000000001" customHeight="1" x14ac:dyDescent="0.25">
      <c r="B352" s="32">
        <v>342</v>
      </c>
      <c r="C352" s="11"/>
      <c r="D352" s="33"/>
      <c r="E352" s="34"/>
      <c r="F352" s="35"/>
      <c r="G352" s="76"/>
      <c r="H352" s="76"/>
      <c r="I352" s="77">
        <f t="shared" si="26"/>
        <v>0</v>
      </c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9"/>
      <c r="V352" s="82">
        <f t="shared" si="27"/>
        <v>0</v>
      </c>
      <c r="W352" s="13" t="str">
        <f t="shared" si="28"/>
        <v>P</v>
      </c>
      <c r="X352" s="36"/>
    </row>
    <row r="353" spans="2:24" ht="20.100000000000001" customHeight="1" x14ac:dyDescent="0.25">
      <c r="B353" s="32">
        <v>343</v>
      </c>
      <c r="C353" s="11"/>
      <c r="D353" s="33"/>
      <c r="E353" s="34"/>
      <c r="F353" s="35"/>
      <c r="G353" s="76"/>
      <c r="H353" s="76"/>
      <c r="I353" s="77">
        <f t="shared" si="26"/>
        <v>0</v>
      </c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9"/>
      <c r="V353" s="82">
        <f t="shared" si="27"/>
        <v>0</v>
      </c>
      <c r="W353" s="13" t="str">
        <f t="shared" si="28"/>
        <v>P</v>
      </c>
      <c r="X353" s="36"/>
    </row>
    <row r="354" spans="2:24" ht="20.100000000000001" customHeight="1" x14ac:dyDescent="0.25">
      <c r="B354" s="32">
        <v>344</v>
      </c>
      <c r="C354" s="11"/>
      <c r="D354" s="33"/>
      <c r="E354" s="34"/>
      <c r="F354" s="35"/>
      <c r="G354" s="76"/>
      <c r="H354" s="76"/>
      <c r="I354" s="77">
        <f t="shared" si="26"/>
        <v>0</v>
      </c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9"/>
      <c r="V354" s="82">
        <f t="shared" si="27"/>
        <v>0</v>
      </c>
      <c r="W354" s="13" t="str">
        <f t="shared" si="28"/>
        <v>P</v>
      </c>
      <c r="X354" s="36"/>
    </row>
    <row r="355" spans="2:24" ht="20.100000000000001" customHeight="1" x14ac:dyDescent="0.25">
      <c r="B355" s="32">
        <v>345</v>
      </c>
      <c r="C355" s="11"/>
      <c r="D355" s="33"/>
      <c r="E355" s="34"/>
      <c r="F355" s="35"/>
      <c r="G355" s="76"/>
      <c r="H355" s="76"/>
      <c r="I355" s="77">
        <f t="shared" si="26"/>
        <v>0</v>
      </c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9"/>
      <c r="V355" s="82">
        <f t="shared" si="27"/>
        <v>0</v>
      </c>
      <c r="W355" s="13" t="str">
        <f t="shared" si="28"/>
        <v>P</v>
      </c>
      <c r="X355" s="36"/>
    </row>
    <row r="356" spans="2:24" ht="20.100000000000001" customHeight="1" x14ac:dyDescent="0.25">
      <c r="B356" s="32">
        <v>346</v>
      </c>
      <c r="C356" s="11"/>
      <c r="D356" s="33"/>
      <c r="E356" s="34"/>
      <c r="F356" s="35"/>
      <c r="G356" s="76"/>
      <c r="H356" s="76"/>
      <c r="I356" s="77">
        <f t="shared" si="26"/>
        <v>0</v>
      </c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9"/>
      <c r="V356" s="82">
        <f t="shared" si="27"/>
        <v>0</v>
      </c>
      <c r="W356" s="13" t="str">
        <f t="shared" si="28"/>
        <v>P</v>
      </c>
      <c r="X356" s="36"/>
    </row>
    <row r="357" spans="2:24" ht="20.100000000000001" customHeight="1" x14ac:dyDescent="0.25">
      <c r="B357" s="32">
        <v>347</v>
      </c>
      <c r="C357" s="11"/>
      <c r="D357" s="33"/>
      <c r="E357" s="34"/>
      <c r="F357" s="35"/>
      <c r="G357" s="76"/>
      <c r="H357" s="76"/>
      <c r="I357" s="77">
        <f t="shared" si="26"/>
        <v>0</v>
      </c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9"/>
      <c r="V357" s="82">
        <f t="shared" si="27"/>
        <v>0</v>
      </c>
      <c r="W357" s="13" t="str">
        <f t="shared" si="28"/>
        <v>P</v>
      </c>
      <c r="X357" s="36"/>
    </row>
    <row r="358" spans="2:24" ht="20.100000000000001" customHeight="1" x14ac:dyDescent="0.25">
      <c r="B358" s="32">
        <v>348</v>
      </c>
      <c r="C358" s="11"/>
      <c r="D358" s="33"/>
      <c r="E358" s="34"/>
      <c r="F358" s="35"/>
      <c r="G358" s="76"/>
      <c r="H358" s="76"/>
      <c r="I358" s="77">
        <f t="shared" si="26"/>
        <v>0</v>
      </c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9"/>
      <c r="V358" s="82">
        <f t="shared" si="27"/>
        <v>0</v>
      </c>
      <c r="W358" s="13" t="str">
        <f t="shared" si="28"/>
        <v>P</v>
      </c>
      <c r="X358" s="36"/>
    </row>
    <row r="359" spans="2:24" ht="20.100000000000001" customHeight="1" x14ac:dyDescent="0.25">
      <c r="B359" s="32">
        <v>349</v>
      </c>
      <c r="C359" s="11"/>
      <c r="D359" s="33"/>
      <c r="E359" s="34"/>
      <c r="F359" s="35"/>
      <c r="G359" s="76"/>
      <c r="H359" s="76"/>
      <c r="I359" s="77">
        <f t="shared" si="26"/>
        <v>0</v>
      </c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9"/>
      <c r="V359" s="82">
        <f t="shared" si="27"/>
        <v>0</v>
      </c>
      <c r="W359" s="13" t="str">
        <f t="shared" si="28"/>
        <v>P</v>
      </c>
      <c r="X359" s="36"/>
    </row>
    <row r="360" spans="2:24" ht="20.100000000000001" customHeight="1" x14ac:dyDescent="0.25">
      <c r="B360" s="32">
        <v>350</v>
      </c>
      <c r="C360" s="11"/>
      <c r="D360" s="33"/>
      <c r="E360" s="34"/>
      <c r="F360" s="35"/>
      <c r="G360" s="76"/>
      <c r="H360" s="76"/>
      <c r="I360" s="77">
        <f t="shared" si="26"/>
        <v>0</v>
      </c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9"/>
      <c r="V360" s="82">
        <f t="shared" si="27"/>
        <v>0</v>
      </c>
      <c r="W360" s="13" t="str">
        <f t="shared" si="28"/>
        <v>P</v>
      </c>
      <c r="X360" s="36"/>
    </row>
    <row r="361" spans="2:24" ht="20.100000000000001" customHeight="1" x14ac:dyDescent="0.25">
      <c r="B361" s="32">
        <v>351</v>
      </c>
      <c r="C361" s="11"/>
      <c r="D361" s="33"/>
      <c r="E361" s="34"/>
      <c r="F361" s="35"/>
      <c r="G361" s="76"/>
      <c r="H361" s="76"/>
      <c r="I361" s="77">
        <f t="shared" si="26"/>
        <v>0</v>
      </c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9"/>
      <c r="V361" s="82">
        <f t="shared" si="27"/>
        <v>0</v>
      </c>
      <c r="W361" s="13" t="str">
        <f t="shared" si="28"/>
        <v>P</v>
      </c>
      <c r="X361" s="36"/>
    </row>
    <row r="362" spans="2:24" ht="20.100000000000001" customHeight="1" x14ac:dyDescent="0.25">
      <c r="B362" s="32">
        <v>352</v>
      </c>
      <c r="C362" s="11"/>
      <c r="D362" s="33"/>
      <c r="E362" s="34"/>
      <c r="F362" s="35"/>
      <c r="G362" s="76"/>
      <c r="H362" s="76"/>
      <c r="I362" s="77">
        <f t="shared" si="26"/>
        <v>0</v>
      </c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9"/>
      <c r="V362" s="82">
        <f t="shared" si="27"/>
        <v>0</v>
      </c>
      <c r="W362" s="13" t="str">
        <f t="shared" si="28"/>
        <v>P</v>
      </c>
      <c r="X362" s="36"/>
    </row>
    <row r="363" spans="2:24" ht="20.100000000000001" customHeight="1" x14ac:dyDescent="0.25">
      <c r="B363" s="32">
        <v>353</v>
      </c>
      <c r="C363" s="11"/>
      <c r="D363" s="33"/>
      <c r="E363" s="34"/>
      <c r="F363" s="35"/>
      <c r="G363" s="76"/>
      <c r="H363" s="76"/>
      <c r="I363" s="77">
        <f t="shared" si="26"/>
        <v>0</v>
      </c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9"/>
      <c r="V363" s="82">
        <f t="shared" si="27"/>
        <v>0</v>
      </c>
      <c r="W363" s="13" t="str">
        <f t="shared" si="28"/>
        <v>P</v>
      </c>
      <c r="X363" s="36"/>
    </row>
    <row r="364" spans="2:24" ht="20.100000000000001" customHeight="1" x14ac:dyDescent="0.25">
      <c r="B364" s="32">
        <v>354</v>
      </c>
      <c r="C364" s="11"/>
      <c r="D364" s="33"/>
      <c r="E364" s="34"/>
      <c r="F364" s="35"/>
      <c r="G364" s="76"/>
      <c r="H364" s="76"/>
      <c r="I364" s="77">
        <f t="shared" si="26"/>
        <v>0</v>
      </c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9"/>
      <c r="V364" s="82">
        <f t="shared" si="27"/>
        <v>0</v>
      </c>
      <c r="W364" s="13" t="str">
        <f t="shared" si="28"/>
        <v>P</v>
      </c>
      <c r="X364" s="36"/>
    </row>
    <row r="365" spans="2:24" ht="20.100000000000001" customHeight="1" x14ac:dyDescent="0.25">
      <c r="B365" s="32">
        <v>355</v>
      </c>
      <c r="C365" s="11"/>
      <c r="D365" s="33"/>
      <c r="E365" s="34"/>
      <c r="F365" s="35"/>
      <c r="G365" s="76"/>
      <c r="H365" s="76"/>
      <c r="I365" s="77">
        <f t="shared" si="26"/>
        <v>0</v>
      </c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9"/>
      <c r="V365" s="82">
        <f t="shared" si="27"/>
        <v>0</v>
      </c>
      <c r="W365" s="13" t="str">
        <f t="shared" si="28"/>
        <v>P</v>
      </c>
      <c r="X365" s="36"/>
    </row>
    <row r="366" spans="2:24" ht="20.100000000000001" customHeight="1" x14ac:dyDescent="0.25">
      <c r="B366" s="32">
        <v>356</v>
      </c>
      <c r="C366" s="11"/>
      <c r="D366" s="33"/>
      <c r="E366" s="34"/>
      <c r="F366" s="35"/>
      <c r="G366" s="76"/>
      <c r="H366" s="76"/>
      <c r="I366" s="77">
        <f t="shared" si="26"/>
        <v>0</v>
      </c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9"/>
      <c r="V366" s="82">
        <f t="shared" si="27"/>
        <v>0</v>
      </c>
      <c r="W366" s="13" t="str">
        <f t="shared" si="28"/>
        <v>P</v>
      </c>
      <c r="X366" s="36"/>
    </row>
    <row r="367" spans="2:24" ht="20.100000000000001" customHeight="1" x14ac:dyDescent="0.25">
      <c r="B367" s="32">
        <v>357</v>
      </c>
      <c r="C367" s="11"/>
      <c r="D367" s="33"/>
      <c r="E367" s="34"/>
      <c r="F367" s="35"/>
      <c r="G367" s="76"/>
      <c r="H367" s="76"/>
      <c r="I367" s="77">
        <f t="shared" si="26"/>
        <v>0</v>
      </c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9"/>
      <c r="V367" s="82">
        <f t="shared" si="27"/>
        <v>0</v>
      </c>
      <c r="W367" s="13" t="str">
        <f t="shared" si="28"/>
        <v>P</v>
      </c>
      <c r="X367" s="36"/>
    </row>
    <row r="368" spans="2:24" ht="20.100000000000001" customHeight="1" x14ac:dyDescent="0.25">
      <c r="B368" s="32">
        <v>358</v>
      </c>
      <c r="C368" s="11"/>
      <c r="D368" s="33"/>
      <c r="E368" s="34"/>
      <c r="F368" s="35"/>
      <c r="G368" s="76"/>
      <c r="H368" s="76"/>
      <c r="I368" s="77">
        <f t="shared" si="26"/>
        <v>0</v>
      </c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9"/>
      <c r="V368" s="82">
        <f t="shared" si="27"/>
        <v>0</v>
      </c>
      <c r="W368" s="13" t="str">
        <f t="shared" si="28"/>
        <v>P</v>
      </c>
      <c r="X368" s="36"/>
    </row>
    <row r="369" spans="2:24" ht="20.100000000000001" customHeight="1" x14ac:dyDescent="0.25">
      <c r="B369" s="32">
        <v>359</v>
      </c>
      <c r="C369" s="11"/>
      <c r="D369" s="33"/>
      <c r="E369" s="34"/>
      <c r="F369" s="35"/>
      <c r="G369" s="76"/>
      <c r="H369" s="76"/>
      <c r="I369" s="77">
        <f t="shared" si="26"/>
        <v>0</v>
      </c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9"/>
      <c r="V369" s="82">
        <f t="shared" si="27"/>
        <v>0</v>
      </c>
      <c r="W369" s="13" t="str">
        <f t="shared" si="28"/>
        <v>P</v>
      </c>
      <c r="X369" s="36"/>
    </row>
    <row r="370" spans="2:24" ht="20.100000000000001" customHeight="1" x14ac:dyDescent="0.25">
      <c r="B370" s="32">
        <v>360</v>
      </c>
      <c r="C370" s="11"/>
      <c r="D370" s="33"/>
      <c r="E370" s="34"/>
      <c r="F370" s="35"/>
      <c r="G370" s="76"/>
      <c r="H370" s="76"/>
      <c r="I370" s="77">
        <f t="shared" si="26"/>
        <v>0</v>
      </c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9"/>
      <c r="V370" s="82">
        <f t="shared" si="27"/>
        <v>0</v>
      </c>
      <c r="W370" s="13" t="str">
        <f t="shared" si="28"/>
        <v>P</v>
      </c>
      <c r="X370" s="36"/>
    </row>
    <row r="371" spans="2:24" ht="20.100000000000001" customHeight="1" x14ac:dyDescent="0.25">
      <c r="B371" s="32">
        <v>361</v>
      </c>
      <c r="C371" s="11"/>
      <c r="D371" s="33"/>
      <c r="E371" s="34"/>
      <c r="F371" s="35"/>
      <c r="G371" s="76"/>
      <c r="H371" s="76"/>
      <c r="I371" s="77">
        <f t="shared" si="26"/>
        <v>0</v>
      </c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9"/>
      <c r="V371" s="82">
        <f t="shared" si="27"/>
        <v>0</v>
      </c>
      <c r="W371" s="13" t="str">
        <f t="shared" si="28"/>
        <v>P</v>
      </c>
      <c r="X371" s="36"/>
    </row>
    <row r="372" spans="2:24" ht="20.100000000000001" customHeight="1" x14ac:dyDescent="0.25">
      <c r="B372" s="32">
        <v>362</v>
      </c>
      <c r="C372" s="11"/>
      <c r="D372" s="33"/>
      <c r="E372" s="34"/>
      <c r="F372" s="35"/>
      <c r="G372" s="76"/>
      <c r="H372" s="76"/>
      <c r="I372" s="77">
        <f t="shared" si="26"/>
        <v>0</v>
      </c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9"/>
      <c r="V372" s="82">
        <f t="shared" si="27"/>
        <v>0</v>
      </c>
      <c r="W372" s="13" t="str">
        <f t="shared" si="28"/>
        <v>P</v>
      </c>
      <c r="X372" s="36"/>
    </row>
    <row r="373" spans="2:24" ht="20.100000000000001" customHeight="1" x14ac:dyDescent="0.25">
      <c r="B373" s="32">
        <v>363</v>
      </c>
      <c r="C373" s="11"/>
      <c r="D373" s="33"/>
      <c r="E373" s="34"/>
      <c r="F373" s="35"/>
      <c r="G373" s="76"/>
      <c r="H373" s="76"/>
      <c r="I373" s="77">
        <f t="shared" si="26"/>
        <v>0</v>
      </c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9"/>
      <c r="V373" s="82">
        <f t="shared" si="27"/>
        <v>0</v>
      </c>
      <c r="W373" s="13" t="str">
        <f t="shared" si="28"/>
        <v>P</v>
      </c>
      <c r="X373" s="36"/>
    </row>
    <row r="374" spans="2:24" ht="20.100000000000001" customHeight="1" x14ac:dyDescent="0.25">
      <c r="B374" s="32">
        <v>364</v>
      </c>
      <c r="C374" s="11"/>
      <c r="D374" s="33"/>
      <c r="E374" s="34"/>
      <c r="F374" s="35"/>
      <c r="G374" s="76"/>
      <c r="H374" s="76"/>
      <c r="I374" s="77">
        <f t="shared" si="26"/>
        <v>0</v>
      </c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9"/>
      <c r="V374" s="82">
        <f t="shared" si="27"/>
        <v>0</v>
      </c>
      <c r="W374" s="13" t="str">
        <f t="shared" si="28"/>
        <v>P</v>
      </c>
      <c r="X374" s="36"/>
    </row>
    <row r="375" spans="2:24" ht="20.100000000000001" customHeight="1" x14ac:dyDescent="0.25">
      <c r="B375" s="32">
        <v>365</v>
      </c>
      <c r="C375" s="11"/>
      <c r="D375" s="33"/>
      <c r="E375" s="34"/>
      <c r="F375" s="35"/>
      <c r="G375" s="76"/>
      <c r="H375" s="76"/>
      <c r="I375" s="77">
        <f t="shared" si="26"/>
        <v>0</v>
      </c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9"/>
      <c r="V375" s="82">
        <f t="shared" ref="V375:V406" si="29">SUM(J375:U375)</f>
        <v>0</v>
      </c>
      <c r="W375" s="13" t="str">
        <f t="shared" ref="W375:W406" si="30">IF(I375=V375,"P","O")</f>
        <v>P</v>
      </c>
      <c r="X375" s="36"/>
    </row>
    <row r="376" spans="2:24" ht="20.100000000000001" customHeight="1" x14ac:dyDescent="0.25">
      <c r="B376" s="32">
        <v>366</v>
      </c>
      <c r="C376" s="11"/>
      <c r="D376" s="33"/>
      <c r="E376" s="34"/>
      <c r="F376" s="35"/>
      <c r="G376" s="76"/>
      <c r="H376" s="76"/>
      <c r="I376" s="77">
        <f t="shared" ref="I376:I439" si="31">G376*H376</f>
        <v>0</v>
      </c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9"/>
      <c r="V376" s="82">
        <f t="shared" si="29"/>
        <v>0</v>
      </c>
      <c r="W376" s="13" t="str">
        <f t="shared" si="30"/>
        <v>P</v>
      </c>
      <c r="X376" s="36"/>
    </row>
    <row r="377" spans="2:24" ht="20.100000000000001" customHeight="1" x14ac:dyDescent="0.25">
      <c r="B377" s="32">
        <v>367</v>
      </c>
      <c r="C377" s="11"/>
      <c r="D377" s="33"/>
      <c r="E377" s="34"/>
      <c r="F377" s="35"/>
      <c r="G377" s="76"/>
      <c r="H377" s="76"/>
      <c r="I377" s="77">
        <f t="shared" si="31"/>
        <v>0</v>
      </c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9"/>
      <c r="V377" s="82">
        <f t="shared" si="29"/>
        <v>0</v>
      </c>
      <c r="W377" s="13" t="str">
        <f t="shared" si="30"/>
        <v>P</v>
      </c>
      <c r="X377" s="36"/>
    </row>
    <row r="378" spans="2:24" ht="20.100000000000001" customHeight="1" x14ac:dyDescent="0.25">
      <c r="B378" s="32">
        <v>368</v>
      </c>
      <c r="C378" s="11"/>
      <c r="D378" s="33"/>
      <c r="E378" s="34"/>
      <c r="F378" s="35"/>
      <c r="G378" s="76"/>
      <c r="H378" s="76"/>
      <c r="I378" s="77">
        <f t="shared" si="31"/>
        <v>0</v>
      </c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9"/>
      <c r="V378" s="82">
        <f t="shared" si="29"/>
        <v>0</v>
      </c>
      <c r="W378" s="13" t="str">
        <f t="shared" si="30"/>
        <v>P</v>
      </c>
      <c r="X378" s="36"/>
    </row>
    <row r="379" spans="2:24" ht="20.100000000000001" customHeight="1" x14ac:dyDescent="0.25">
      <c r="B379" s="32">
        <v>369</v>
      </c>
      <c r="C379" s="11"/>
      <c r="D379" s="33"/>
      <c r="E379" s="34"/>
      <c r="F379" s="35"/>
      <c r="G379" s="76"/>
      <c r="H379" s="76"/>
      <c r="I379" s="77">
        <f t="shared" si="31"/>
        <v>0</v>
      </c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9"/>
      <c r="V379" s="82">
        <f t="shared" si="29"/>
        <v>0</v>
      </c>
      <c r="W379" s="13" t="str">
        <f t="shared" si="30"/>
        <v>P</v>
      </c>
      <c r="X379" s="36"/>
    </row>
    <row r="380" spans="2:24" ht="20.100000000000001" customHeight="1" x14ac:dyDescent="0.25">
      <c r="B380" s="32">
        <v>370</v>
      </c>
      <c r="C380" s="11"/>
      <c r="D380" s="33"/>
      <c r="E380" s="34"/>
      <c r="F380" s="35"/>
      <c r="G380" s="76"/>
      <c r="H380" s="76"/>
      <c r="I380" s="77">
        <f t="shared" si="31"/>
        <v>0</v>
      </c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9"/>
      <c r="V380" s="82">
        <f t="shared" si="29"/>
        <v>0</v>
      </c>
      <c r="W380" s="13" t="str">
        <f t="shared" si="30"/>
        <v>P</v>
      </c>
      <c r="X380" s="36"/>
    </row>
    <row r="381" spans="2:24" ht="20.100000000000001" customHeight="1" x14ac:dyDescent="0.25">
      <c r="B381" s="32">
        <v>371</v>
      </c>
      <c r="C381" s="11"/>
      <c r="D381" s="33"/>
      <c r="E381" s="34"/>
      <c r="F381" s="35"/>
      <c r="G381" s="76"/>
      <c r="H381" s="76"/>
      <c r="I381" s="77">
        <f t="shared" si="31"/>
        <v>0</v>
      </c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9"/>
      <c r="V381" s="82">
        <f t="shared" si="29"/>
        <v>0</v>
      </c>
      <c r="W381" s="13" t="str">
        <f t="shared" si="30"/>
        <v>P</v>
      </c>
      <c r="X381" s="36"/>
    </row>
    <row r="382" spans="2:24" ht="20.100000000000001" customHeight="1" x14ac:dyDescent="0.25">
      <c r="B382" s="32">
        <v>372</v>
      </c>
      <c r="C382" s="11"/>
      <c r="D382" s="33"/>
      <c r="E382" s="34"/>
      <c r="F382" s="35"/>
      <c r="G382" s="76"/>
      <c r="H382" s="76"/>
      <c r="I382" s="77">
        <f t="shared" si="31"/>
        <v>0</v>
      </c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9"/>
      <c r="V382" s="82">
        <f t="shared" si="29"/>
        <v>0</v>
      </c>
      <c r="W382" s="13" t="str">
        <f t="shared" si="30"/>
        <v>P</v>
      </c>
      <c r="X382" s="36"/>
    </row>
    <row r="383" spans="2:24" ht="20.100000000000001" customHeight="1" x14ac:dyDescent="0.25">
      <c r="B383" s="32">
        <v>373</v>
      </c>
      <c r="C383" s="11"/>
      <c r="D383" s="33"/>
      <c r="E383" s="34"/>
      <c r="F383" s="35"/>
      <c r="G383" s="76"/>
      <c r="H383" s="76"/>
      <c r="I383" s="77">
        <f t="shared" si="31"/>
        <v>0</v>
      </c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9"/>
      <c r="V383" s="82">
        <f t="shared" si="29"/>
        <v>0</v>
      </c>
      <c r="W383" s="13" t="str">
        <f t="shared" si="30"/>
        <v>P</v>
      </c>
      <c r="X383" s="36"/>
    </row>
    <row r="384" spans="2:24" ht="20.100000000000001" customHeight="1" x14ac:dyDescent="0.25">
      <c r="B384" s="32">
        <v>374</v>
      </c>
      <c r="C384" s="11"/>
      <c r="D384" s="33"/>
      <c r="E384" s="34"/>
      <c r="F384" s="35"/>
      <c r="G384" s="76"/>
      <c r="H384" s="76"/>
      <c r="I384" s="77">
        <f t="shared" si="31"/>
        <v>0</v>
      </c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9"/>
      <c r="V384" s="82">
        <f t="shared" si="29"/>
        <v>0</v>
      </c>
      <c r="W384" s="13" t="str">
        <f t="shared" si="30"/>
        <v>P</v>
      </c>
      <c r="X384" s="36"/>
    </row>
    <row r="385" spans="2:24" ht="20.100000000000001" customHeight="1" x14ac:dyDescent="0.25">
      <c r="B385" s="32">
        <v>375</v>
      </c>
      <c r="C385" s="11"/>
      <c r="D385" s="33"/>
      <c r="E385" s="34"/>
      <c r="F385" s="35"/>
      <c r="G385" s="76"/>
      <c r="H385" s="76"/>
      <c r="I385" s="77">
        <f t="shared" si="31"/>
        <v>0</v>
      </c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9"/>
      <c r="V385" s="82">
        <f t="shared" si="29"/>
        <v>0</v>
      </c>
      <c r="W385" s="13" t="str">
        <f t="shared" si="30"/>
        <v>P</v>
      </c>
      <c r="X385" s="36"/>
    </row>
    <row r="386" spans="2:24" ht="20.100000000000001" customHeight="1" x14ac:dyDescent="0.25">
      <c r="B386" s="32">
        <v>376</v>
      </c>
      <c r="C386" s="11"/>
      <c r="D386" s="33"/>
      <c r="E386" s="34"/>
      <c r="F386" s="35"/>
      <c r="G386" s="76"/>
      <c r="H386" s="76"/>
      <c r="I386" s="77">
        <f t="shared" si="31"/>
        <v>0</v>
      </c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9"/>
      <c r="V386" s="82">
        <f t="shared" si="29"/>
        <v>0</v>
      </c>
      <c r="W386" s="13" t="str">
        <f t="shared" si="30"/>
        <v>P</v>
      </c>
      <c r="X386" s="36"/>
    </row>
    <row r="387" spans="2:24" ht="20.100000000000001" customHeight="1" x14ac:dyDescent="0.25">
      <c r="B387" s="32">
        <v>377</v>
      </c>
      <c r="C387" s="11"/>
      <c r="D387" s="33"/>
      <c r="E387" s="34"/>
      <c r="F387" s="35"/>
      <c r="G387" s="76"/>
      <c r="H387" s="76"/>
      <c r="I387" s="77">
        <f t="shared" si="31"/>
        <v>0</v>
      </c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9"/>
      <c r="V387" s="82">
        <f t="shared" si="29"/>
        <v>0</v>
      </c>
      <c r="W387" s="13" t="str">
        <f t="shared" si="30"/>
        <v>P</v>
      </c>
      <c r="X387" s="36"/>
    </row>
    <row r="388" spans="2:24" ht="20.100000000000001" customHeight="1" x14ac:dyDescent="0.25">
      <c r="B388" s="32">
        <v>378</v>
      </c>
      <c r="C388" s="11"/>
      <c r="D388" s="33"/>
      <c r="E388" s="34"/>
      <c r="F388" s="35"/>
      <c r="G388" s="76"/>
      <c r="H388" s="76"/>
      <c r="I388" s="77">
        <f t="shared" si="31"/>
        <v>0</v>
      </c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9"/>
      <c r="V388" s="82">
        <f t="shared" si="29"/>
        <v>0</v>
      </c>
      <c r="W388" s="13" t="str">
        <f t="shared" si="30"/>
        <v>P</v>
      </c>
      <c r="X388" s="36"/>
    </row>
    <row r="389" spans="2:24" ht="20.100000000000001" customHeight="1" x14ac:dyDescent="0.25">
      <c r="B389" s="32">
        <v>379</v>
      </c>
      <c r="C389" s="11"/>
      <c r="D389" s="33"/>
      <c r="E389" s="34"/>
      <c r="F389" s="35"/>
      <c r="G389" s="76"/>
      <c r="H389" s="76"/>
      <c r="I389" s="77">
        <f t="shared" si="31"/>
        <v>0</v>
      </c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9"/>
      <c r="V389" s="82">
        <f t="shared" si="29"/>
        <v>0</v>
      </c>
      <c r="W389" s="13" t="str">
        <f t="shared" si="30"/>
        <v>P</v>
      </c>
      <c r="X389" s="36"/>
    </row>
    <row r="390" spans="2:24" ht="20.100000000000001" customHeight="1" x14ac:dyDescent="0.25">
      <c r="B390" s="32">
        <v>380</v>
      </c>
      <c r="C390" s="11"/>
      <c r="D390" s="33"/>
      <c r="E390" s="34"/>
      <c r="F390" s="35"/>
      <c r="G390" s="76"/>
      <c r="H390" s="76"/>
      <c r="I390" s="77">
        <f t="shared" si="31"/>
        <v>0</v>
      </c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9"/>
      <c r="V390" s="82">
        <f t="shared" si="29"/>
        <v>0</v>
      </c>
      <c r="W390" s="13" t="str">
        <f t="shared" si="30"/>
        <v>P</v>
      </c>
      <c r="X390" s="36"/>
    </row>
    <row r="391" spans="2:24" ht="20.100000000000001" customHeight="1" x14ac:dyDescent="0.25">
      <c r="B391" s="32">
        <v>381</v>
      </c>
      <c r="C391" s="11"/>
      <c r="D391" s="33"/>
      <c r="E391" s="34"/>
      <c r="F391" s="35"/>
      <c r="G391" s="76"/>
      <c r="H391" s="76"/>
      <c r="I391" s="77">
        <f t="shared" si="31"/>
        <v>0</v>
      </c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9"/>
      <c r="V391" s="82">
        <f t="shared" si="29"/>
        <v>0</v>
      </c>
      <c r="W391" s="13" t="str">
        <f t="shared" si="30"/>
        <v>P</v>
      </c>
      <c r="X391" s="36"/>
    </row>
    <row r="392" spans="2:24" ht="20.100000000000001" customHeight="1" x14ac:dyDescent="0.25">
      <c r="B392" s="32">
        <v>382</v>
      </c>
      <c r="C392" s="11"/>
      <c r="D392" s="33"/>
      <c r="E392" s="34"/>
      <c r="F392" s="35"/>
      <c r="G392" s="76"/>
      <c r="H392" s="76"/>
      <c r="I392" s="77">
        <f t="shared" si="31"/>
        <v>0</v>
      </c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9"/>
      <c r="V392" s="82">
        <f t="shared" si="29"/>
        <v>0</v>
      </c>
      <c r="W392" s="13" t="str">
        <f t="shared" si="30"/>
        <v>P</v>
      </c>
      <c r="X392" s="36"/>
    </row>
    <row r="393" spans="2:24" ht="20.100000000000001" customHeight="1" x14ac:dyDescent="0.25">
      <c r="B393" s="32">
        <v>383</v>
      </c>
      <c r="C393" s="11"/>
      <c r="D393" s="33"/>
      <c r="E393" s="34"/>
      <c r="F393" s="35"/>
      <c r="G393" s="76"/>
      <c r="H393" s="76"/>
      <c r="I393" s="77">
        <f t="shared" si="31"/>
        <v>0</v>
      </c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9"/>
      <c r="V393" s="82">
        <f t="shared" si="29"/>
        <v>0</v>
      </c>
      <c r="W393" s="13" t="str">
        <f t="shared" si="30"/>
        <v>P</v>
      </c>
      <c r="X393" s="36"/>
    </row>
    <row r="394" spans="2:24" ht="20.100000000000001" customHeight="1" x14ac:dyDescent="0.25">
      <c r="B394" s="32">
        <v>384</v>
      </c>
      <c r="C394" s="11"/>
      <c r="D394" s="33"/>
      <c r="E394" s="34"/>
      <c r="F394" s="35"/>
      <c r="G394" s="76"/>
      <c r="H394" s="76"/>
      <c r="I394" s="77">
        <f t="shared" si="31"/>
        <v>0</v>
      </c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9"/>
      <c r="V394" s="82">
        <f t="shared" si="29"/>
        <v>0</v>
      </c>
      <c r="W394" s="13" t="str">
        <f t="shared" si="30"/>
        <v>P</v>
      </c>
      <c r="X394" s="36"/>
    </row>
    <row r="395" spans="2:24" ht="20.100000000000001" customHeight="1" x14ac:dyDescent="0.25">
      <c r="B395" s="32">
        <v>385</v>
      </c>
      <c r="C395" s="11"/>
      <c r="D395" s="33"/>
      <c r="E395" s="34"/>
      <c r="F395" s="35"/>
      <c r="G395" s="76"/>
      <c r="H395" s="76"/>
      <c r="I395" s="77">
        <f t="shared" si="31"/>
        <v>0</v>
      </c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9"/>
      <c r="V395" s="82">
        <f t="shared" si="29"/>
        <v>0</v>
      </c>
      <c r="W395" s="13" t="str">
        <f t="shared" si="30"/>
        <v>P</v>
      </c>
      <c r="X395" s="36"/>
    </row>
    <row r="396" spans="2:24" ht="20.100000000000001" customHeight="1" x14ac:dyDescent="0.25">
      <c r="B396" s="32">
        <v>386</v>
      </c>
      <c r="C396" s="11"/>
      <c r="D396" s="33"/>
      <c r="E396" s="34"/>
      <c r="F396" s="35"/>
      <c r="G396" s="76"/>
      <c r="H396" s="76"/>
      <c r="I396" s="77">
        <f t="shared" si="31"/>
        <v>0</v>
      </c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9"/>
      <c r="V396" s="82">
        <f t="shared" si="29"/>
        <v>0</v>
      </c>
      <c r="W396" s="13" t="str">
        <f t="shared" si="30"/>
        <v>P</v>
      </c>
      <c r="X396" s="36"/>
    </row>
    <row r="397" spans="2:24" ht="20.100000000000001" customHeight="1" x14ac:dyDescent="0.25">
      <c r="B397" s="32">
        <v>387</v>
      </c>
      <c r="C397" s="11"/>
      <c r="D397" s="33"/>
      <c r="E397" s="34"/>
      <c r="F397" s="35"/>
      <c r="G397" s="76"/>
      <c r="H397" s="76"/>
      <c r="I397" s="77">
        <f t="shared" si="31"/>
        <v>0</v>
      </c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9"/>
      <c r="V397" s="82">
        <f t="shared" si="29"/>
        <v>0</v>
      </c>
      <c r="W397" s="13" t="str">
        <f t="shared" si="30"/>
        <v>P</v>
      </c>
      <c r="X397" s="36"/>
    </row>
    <row r="398" spans="2:24" ht="20.100000000000001" customHeight="1" x14ac:dyDescent="0.25">
      <c r="B398" s="32">
        <v>388</v>
      </c>
      <c r="C398" s="11"/>
      <c r="D398" s="33"/>
      <c r="E398" s="34"/>
      <c r="F398" s="35"/>
      <c r="G398" s="76"/>
      <c r="H398" s="76"/>
      <c r="I398" s="77">
        <f t="shared" si="31"/>
        <v>0</v>
      </c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9"/>
      <c r="V398" s="82">
        <f t="shared" si="29"/>
        <v>0</v>
      </c>
      <c r="W398" s="13" t="str">
        <f t="shared" si="30"/>
        <v>P</v>
      </c>
      <c r="X398" s="36"/>
    </row>
    <row r="399" spans="2:24" ht="20.100000000000001" customHeight="1" x14ac:dyDescent="0.25">
      <c r="B399" s="32">
        <v>389</v>
      </c>
      <c r="C399" s="11"/>
      <c r="D399" s="33"/>
      <c r="E399" s="34"/>
      <c r="F399" s="35"/>
      <c r="G399" s="76"/>
      <c r="H399" s="76"/>
      <c r="I399" s="77">
        <f t="shared" si="31"/>
        <v>0</v>
      </c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9"/>
      <c r="V399" s="82">
        <f t="shared" si="29"/>
        <v>0</v>
      </c>
      <c r="W399" s="13" t="str">
        <f t="shared" si="30"/>
        <v>P</v>
      </c>
      <c r="X399" s="36"/>
    </row>
    <row r="400" spans="2:24" ht="20.100000000000001" customHeight="1" x14ac:dyDescent="0.25">
      <c r="B400" s="32">
        <v>390</v>
      </c>
      <c r="C400" s="11"/>
      <c r="D400" s="33"/>
      <c r="E400" s="34"/>
      <c r="F400" s="35"/>
      <c r="G400" s="76"/>
      <c r="H400" s="76"/>
      <c r="I400" s="77">
        <f t="shared" si="31"/>
        <v>0</v>
      </c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9"/>
      <c r="V400" s="82">
        <f t="shared" si="29"/>
        <v>0</v>
      </c>
      <c r="W400" s="13" t="str">
        <f t="shared" si="30"/>
        <v>P</v>
      </c>
      <c r="X400" s="36"/>
    </row>
    <row r="401" spans="2:24" ht="20.100000000000001" customHeight="1" x14ac:dyDescent="0.25">
      <c r="B401" s="32">
        <v>391</v>
      </c>
      <c r="C401" s="11"/>
      <c r="D401" s="33"/>
      <c r="E401" s="34"/>
      <c r="F401" s="35"/>
      <c r="G401" s="76"/>
      <c r="H401" s="76"/>
      <c r="I401" s="77">
        <f t="shared" si="31"/>
        <v>0</v>
      </c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9"/>
      <c r="V401" s="82">
        <f t="shared" si="29"/>
        <v>0</v>
      </c>
      <c r="W401" s="13" t="str">
        <f t="shared" si="30"/>
        <v>P</v>
      </c>
      <c r="X401" s="36"/>
    </row>
    <row r="402" spans="2:24" ht="20.100000000000001" customHeight="1" x14ac:dyDescent="0.25">
      <c r="B402" s="32">
        <v>392</v>
      </c>
      <c r="C402" s="11"/>
      <c r="D402" s="33"/>
      <c r="E402" s="34"/>
      <c r="F402" s="35"/>
      <c r="G402" s="76"/>
      <c r="H402" s="76"/>
      <c r="I402" s="77">
        <f t="shared" si="31"/>
        <v>0</v>
      </c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9"/>
      <c r="V402" s="82">
        <f t="shared" si="29"/>
        <v>0</v>
      </c>
      <c r="W402" s="13" t="str">
        <f t="shared" si="30"/>
        <v>P</v>
      </c>
      <c r="X402" s="36"/>
    </row>
    <row r="403" spans="2:24" ht="20.100000000000001" customHeight="1" x14ac:dyDescent="0.25">
      <c r="B403" s="32">
        <v>393</v>
      </c>
      <c r="C403" s="11"/>
      <c r="D403" s="33"/>
      <c r="E403" s="34"/>
      <c r="F403" s="35"/>
      <c r="G403" s="76"/>
      <c r="H403" s="76"/>
      <c r="I403" s="77">
        <f t="shared" si="31"/>
        <v>0</v>
      </c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9"/>
      <c r="V403" s="82">
        <f t="shared" si="29"/>
        <v>0</v>
      </c>
      <c r="W403" s="13" t="str">
        <f t="shared" si="30"/>
        <v>P</v>
      </c>
      <c r="X403" s="36"/>
    </row>
    <row r="404" spans="2:24" ht="20.100000000000001" customHeight="1" x14ac:dyDescent="0.25">
      <c r="B404" s="32">
        <v>394</v>
      </c>
      <c r="C404" s="11"/>
      <c r="D404" s="33"/>
      <c r="E404" s="34"/>
      <c r="F404" s="35"/>
      <c r="G404" s="76"/>
      <c r="H404" s="76"/>
      <c r="I404" s="77">
        <f t="shared" si="31"/>
        <v>0</v>
      </c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9"/>
      <c r="V404" s="82">
        <f t="shared" si="29"/>
        <v>0</v>
      </c>
      <c r="W404" s="13" t="str">
        <f t="shared" si="30"/>
        <v>P</v>
      </c>
      <c r="X404" s="36"/>
    </row>
    <row r="405" spans="2:24" ht="20.100000000000001" customHeight="1" x14ac:dyDescent="0.25">
      <c r="B405" s="32">
        <v>395</v>
      </c>
      <c r="C405" s="11"/>
      <c r="D405" s="33"/>
      <c r="E405" s="34"/>
      <c r="F405" s="35"/>
      <c r="G405" s="76"/>
      <c r="H405" s="76"/>
      <c r="I405" s="77">
        <f t="shared" si="31"/>
        <v>0</v>
      </c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9"/>
      <c r="V405" s="82">
        <f t="shared" si="29"/>
        <v>0</v>
      </c>
      <c r="W405" s="13" t="str">
        <f t="shared" si="30"/>
        <v>P</v>
      </c>
      <c r="X405" s="36"/>
    </row>
    <row r="406" spans="2:24" ht="20.100000000000001" customHeight="1" x14ac:dyDescent="0.25">
      <c r="B406" s="32">
        <v>396</v>
      </c>
      <c r="C406" s="11"/>
      <c r="D406" s="33"/>
      <c r="E406" s="34"/>
      <c r="F406" s="35"/>
      <c r="G406" s="76"/>
      <c r="H406" s="76"/>
      <c r="I406" s="77">
        <f t="shared" si="31"/>
        <v>0</v>
      </c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9"/>
      <c r="V406" s="82">
        <f t="shared" si="29"/>
        <v>0</v>
      </c>
      <c r="W406" s="13" t="str">
        <f t="shared" si="30"/>
        <v>P</v>
      </c>
      <c r="X406" s="36"/>
    </row>
    <row r="407" spans="2:24" ht="20.100000000000001" customHeight="1" x14ac:dyDescent="0.25">
      <c r="B407" s="32">
        <v>397</v>
      </c>
      <c r="C407" s="11"/>
      <c r="D407" s="33"/>
      <c r="E407" s="34"/>
      <c r="F407" s="35"/>
      <c r="G407" s="76"/>
      <c r="H407" s="76"/>
      <c r="I407" s="77">
        <f t="shared" si="31"/>
        <v>0</v>
      </c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9"/>
      <c r="V407" s="82">
        <f t="shared" ref="V407:V438" si="32">SUM(J407:U407)</f>
        <v>0</v>
      </c>
      <c r="W407" s="13" t="str">
        <f t="shared" ref="W407:W438" si="33">IF(I407=V407,"P","O")</f>
        <v>P</v>
      </c>
      <c r="X407" s="36"/>
    </row>
    <row r="408" spans="2:24" ht="20.100000000000001" customHeight="1" x14ac:dyDescent="0.25">
      <c r="B408" s="32">
        <v>398</v>
      </c>
      <c r="C408" s="11"/>
      <c r="D408" s="33"/>
      <c r="E408" s="34"/>
      <c r="F408" s="35"/>
      <c r="G408" s="76"/>
      <c r="H408" s="76"/>
      <c r="I408" s="77">
        <f t="shared" si="31"/>
        <v>0</v>
      </c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9"/>
      <c r="V408" s="82">
        <f t="shared" si="32"/>
        <v>0</v>
      </c>
      <c r="W408" s="13" t="str">
        <f t="shared" si="33"/>
        <v>P</v>
      </c>
      <c r="X408" s="36"/>
    </row>
    <row r="409" spans="2:24" ht="20.100000000000001" customHeight="1" x14ac:dyDescent="0.25">
      <c r="B409" s="32">
        <v>399</v>
      </c>
      <c r="C409" s="11"/>
      <c r="D409" s="33"/>
      <c r="E409" s="34"/>
      <c r="F409" s="35"/>
      <c r="G409" s="76"/>
      <c r="H409" s="76"/>
      <c r="I409" s="77">
        <f t="shared" si="31"/>
        <v>0</v>
      </c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9"/>
      <c r="V409" s="82">
        <f t="shared" si="32"/>
        <v>0</v>
      </c>
      <c r="W409" s="13" t="str">
        <f t="shared" si="33"/>
        <v>P</v>
      </c>
      <c r="X409" s="36"/>
    </row>
    <row r="410" spans="2:24" ht="20.100000000000001" customHeight="1" x14ac:dyDescent="0.25">
      <c r="B410" s="32">
        <v>400</v>
      </c>
      <c r="C410" s="11"/>
      <c r="D410" s="33"/>
      <c r="E410" s="34"/>
      <c r="F410" s="35"/>
      <c r="G410" s="76"/>
      <c r="H410" s="76"/>
      <c r="I410" s="77">
        <f t="shared" si="31"/>
        <v>0</v>
      </c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9"/>
      <c r="V410" s="82">
        <f t="shared" si="32"/>
        <v>0</v>
      </c>
      <c r="W410" s="13" t="str">
        <f t="shared" si="33"/>
        <v>P</v>
      </c>
      <c r="X410" s="36"/>
    </row>
    <row r="411" spans="2:24" ht="20.100000000000001" customHeight="1" x14ac:dyDescent="0.25">
      <c r="B411" s="32">
        <v>401</v>
      </c>
      <c r="C411" s="11"/>
      <c r="D411" s="33"/>
      <c r="E411" s="34"/>
      <c r="F411" s="35"/>
      <c r="G411" s="76"/>
      <c r="H411" s="76"/>
      <c r="I411" s="77">
        <f t="shared" si="31"/>
        <v>0</v>
      </c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9"/>
      <c r="V411" s="82">
        <f t="shared" si="32"/>
        <v>0</v>
      </c>
      <c r="W411" s="13" t="str">
        <f t="shared" si="33"/>
        <v>P</v>
      </c>
      <c r="X411" s="36"/>
    </row>
    <row r="412" spans="2:24" ht="20.100000000000001" customHeight="1" x14ac:dyDescent="0.25">
      <c r="B412" s="32">
        <v>402</v>
      </c>
      <c r="C412" s="11"/>
      <c r="D412" s="33"/>
      <c r="E412" s="34"/>
      <c r="F412" s="35"/>
      <c r="G412" s="76"/>
      <c r="H412" s="76"/>
      <c r="I412" s="77">
        <f t="shared" si="31"/>
        <v>0</v>
      </c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9"/>
      <c r="V412" s="82">
        <f t="shared" si="32"/>
        <v>0</v>
      </c>
      <c r="W412" s="13" t="str">
        <f t="shared" si="33"/>
        <v>P</v>
      </c>
      <c r="X412" s="36"/>
    </row>
    <row r="413" spans="2:24" ht="20.100000000000001" customHeight="1" x14ac:dyDescent="0.25">
      <c r="B413" s="32">
        <v>403</v>
      </c>
      <c r="C413" s="11"/>
      <c r="D413" s="33"/>
      <c r="E413" s="34"/>
      <c r="F413" s="35"/>
      <c r="G413" s="76"/>
      <c r="H413" s="76"/>
      <c r="I413" s="77">
        <f t="shared" si="31"/>
        <v>0</v>
      </c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9"/>
      <c r="V413" s="82">
        <f t="shared" si="32"/>
        <v>0</v>
      </c>
      <c r="W413" s="13" t="str">
        <f t="shared" si="33"/>
        <v>P</v>
      </c>
      <c r="X413" s="36"/>
    </row>
    <row r="414" spans="2:24" ht="20.100000000000001" customHeight="1" x14ac:dyDescent="0.25">
      <c r="B414" s="32">
        <v>404</v>
      </c>
      <c r="C414" s="11"/>
      <c r="D414" s="33"/>
      <c r="E414" s="34"/>
      <c r="F414" s="35"/>
      <c r="G414" s="76"/>
      <c r="H414" s="76"/>
      <c r="I414" s="77">
        <f t="shared" si="31"/>
        <v>0</v>
      </c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9"/>
      <c r="V414" s="82">
        <f t="shared" si="32"/>
        <v>0</v>
      </c>
      <c r="W414" s="13" t="str">
        <f t="shared" si="33"/>
        <v>P</v>
      </c>
      <c r="X414" s="36"/>
    </row>
    <row r="415" spans="2:24" ht="20.100000000000001" customHeight="1" x14ac:dyDescent="0.25">
      <c r="B415" s="32">
        <v>405</v>
      </c>
      <c r="C415" s="11"/>
      <c r="D415" s="33"/>
      <c r="E415" s="34"/>
      <c r="F415" s="35"/>
      <c r="G415" s="76"/>
      <c r="H415" s="76"/>
      <c r="I415" s="77">
        <f t="shared" si="31"/>
        <v>0</v>
      </c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9"/>
      <c r="V415" s="82">
        <f t="shared" si="32"/>
        <v>0</v>
      </c>
      <c r="W415" s="13" t="str">
        <f t="shared" si="33"/>
        <v>P</v>
      </c>
      <c r="X415" s="36"/>
    </row>
    <row r="416" spans="2:24" ht="20.100000000000001" customHeight="1" x14ac:dyDescent="0.25">
      <c r="B416" s="32">
        <v>406</v>
      </c>
      <c r="C416" s="11"/>
      <c r="D416" s="33"/>
      <c r="E416" s="34"/>
      <c r="F416" s="35"/>
      <c r="G416" s="76"/>
      <c r="H416" s="76"/>
      <c r="I416" s="77">
        <f t="shared" si="31"/>
        <v>0</v>
      </c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9"/>
      <c r="V416" s="82">
        <f t="shared" si="32"/>
        <v>0</v>
      </c>
      <c r="W416" s="13" t="str">
        <f t="shared" si="33"/>
        <v>P</v>
      </c>
      <c r="X416" s="36"/>
    </row>
    <row r="417" spans="2:24" ht="20.100000000000001" customHeight="1" x14ac:dyDescent="0.25">
      <c r="B417" s="32">
        <v>407</v>
      </c>
      <c r="C417" s="11"/>
      <c r="D417" s="33"/>
      <c r="E417" s="34"/>
      <c r="F417" s="35"/>
      <c r="G417" s="76"/>
      <c r="H417" s="76"/>
      <c r="I417" s="77">
        <f t="shared" si="31"/>
        <v>0</v>
      </c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9"/>
      <c r="V417" s="82">
        <f t="shared" si="32"/>
        <v>0</v>
      </c>
      <c r="W417" s="13" t="str">
        <f t="shared" si="33"/>
        <v>P</v>
      </c>
      <c r="X417" s="36"/>
    </row>
    <row r="418" spans="2:24" ht="20.100000000000001" customHeight="1" x14ac:dyDescent="0.25">
      <c r="B418" s="32">
        <v>408</v>
      </c>
      <c r="C418" s="11"/>
      <c r="D418" s="33"/>
      <c r="E418" s="34"/>
      <c r="F418" s="35"/>
      <c r="G418" s="76"/>
      <c r="H418" s="76"/>
      <c r="I418" s="77">
        <f t="shared" si="31"/>
        <v>0</v>
      </c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9"/>
      <c r="V418" s="82">
        <f t="shared" si="32"/>
        <v>0</v>
      </c>
      <c r="W418" s="13" t="str">
        <f t="shared" si="33"/>
        <v>P</v>
      </c>
      <c r="X418" s="36"/>
    </row>
    <row r="419" spans="2:24" ht="20.100000000000001" customHeight="1" x14ac:dyDescent="0.25">
      <c r="B419" s="32">
        <v>409</v>
      </c>
      <c r="C419" s="11"/>
      <c r="D419" s="33"/>
      <c r="E419" s="34"/>
      <c r="F419" s="35"/>
      <c r="G419" s="76"/>
      <c r="H419" s="76"/>
      <c r="I419" s="77">
        <f t="shared" si="31"/>
        <v>0</v>
      </c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9"/>
      <c r="V419" s="82">
        <f t="shared" si="32"/>
        <v>0</v>
      </c>
      <c r="W419" s="13" t="str">
        <f t="shared" si="33"/>
        <v>P</v>
      </c>
      <c r="X419" s="36"/>
    </row>
    <row r="420" spans="2:24" ht="20.100000000000001" customHeight="1" x14ac:dyDescent="0.25">
      <c r="B420" s="32">
        <v>410</v>
      </c>
      <c r="C420" s="11"/>
      <c r="D420" s="33"/>
      <c r="E420" s="34"/>
      <c r="F420" s="35"/>
      <c r="G420" s="76"/>
      <c r="H420" s="76"/>
      <c r="I420" s="77">
        <f t="shared" si="31"/>
        <v>0</v>
      </c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9"/>
      <c r="V420" s="82">
        <f t="shared" si="32"/>
        <v>0</v>
      </c>
      <c r="W420" s="13" t="str">
        <f t="shared" si="33"/>
        <v>P</v>
      </c>
      <c r="X420" s="36"/>
    </row>
    <row r="421" spans="2:24" ht="20.100000000000001" customHeight="1" x14ac:dyDescent="0.25">
      <c r="B421" s="32">
        <v>411</v>
      </c>
      <c r="C421" s="11"/>
      <c r="D421" s="33"/>
      <c r="E421" s="34"/>
      <c r="F421" s="35"/>
      <c r="G421" s="76"/>
      <c r="H421" s="76"/>
      <c r="I421" s="77">
        <f t="shared" si="31"/>
        <v>0</v>
      </c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9"/>
      <c r="V421" s="82">
        <f t="shared" si="32"/>
        <v>0</v>
      </c>
      <c r="W421" s="13" t="str">
        <f t="shared" si="33"/>
        <v>P</v>
      </c>
      <c r="X421" s="36"/>
    </row>
    <row r="422" spans="2:24" ht="20.100000000000001" customHeight="1" x14ac:dyDescent="0.25">
      <c r="B422" s="32">
        <v>412</v>
      </c>
      <c r="C422" s="11"/>
      <c r="D422" s="33"/>
      <c r="E422" s="34"/>
      <c r="F422" s="35"/>
      <c r="G422" s="76"/>
      <c r="H422" s="76"/>
      <c r="I422" s="77">
        <f t="shared" si="31"/>
        <v>0</v>
      </c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9"/>
      <c r="V422" s="82">
        <f t="shared" si="32"/>
        <v>0</v>
      </c>
      <c r="W422" s="13" t="str">
        <f t="shared" si="33"/>
        <v>P</v>
      </c>
      <c r="X422" s="36"/>
    </row>
    <row r="423" spans="2:24" ht="20.100000000000001" customHeight="1" x14ac:dyDescent="0.25">
      <c r="B423" s="32">
        <v>413</v>
      </c>
      <c r="C423" s="11"/>
      <c r="D423" s="33"/>
      <c r="E423" s="34"/>
      <c r="F423" s="35"/>
      <c r="G423" s="76"/>
      <c r="H423" s="76"/>
      <c r="I423" s="77">
        <f t="shared" si="31"/>
        <v>0</v>
      </c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9"/>
      <c r="V423" s="82">
        <f t="shared" si="32"/>
        <v>0</v>
      </c>
      <c r="W423" s="13" t="str">
        <f t="shared" si="33"/>
        <v>P</v>
      </c>
      <c r="X423" s="36"/>
    </row>
    <row r="424" spans="2:24" ht="20.100000000000001" customHeight="1" x14ac:dyDescent="0.25">
      <c r="B424" s="32">
        <v>414</v>
      </c>
      <c r="C424" s="11"/>
      <c r="D424" s="33"/>
      <c r="E424" s="34"/>
      <c r="F424" s="35"/>
      <c r="G424" s="76"/>
      <c r="H424" s="76"/>
      <c r="I424" s="77">
        <f t="shared" si="31"/>
        <v>0</v>
      </c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9"/>
      <c r="V424" s="82">
        <f t="shared" si="32"/>
        <v>0</v>
      </c>
      <c r="W424" s="13" t="str">
        <f t="shared" si="33"/>
        <v>P</v>
      </c>
      <c r="X424" s="36"/>
    </row>
    <row r="425" spans="2:24" ht="20.100000000000001" customHeight="1" x14ac:dyDescent="0.25">
      <c r="B425" s="32">
        <v>415</v>
      </c>
      <c r="C425" s="11"/>
      <c r="D425" s="33"/>
      <c r="E425" s="34"/>
      <c r="F425" s="35"/>
      <c r="G425" s="76"/>
      <c r="H425" s="76"/>
      <c r="I425" s="77">
        <f t="shared" si="31"/>
        <v>0</v>
      </c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9"/>
      <c r="V425" s="82">
        <f t="shared" si="32"/>
        <v>0</v>
      </c>
      <c r="W425" s="13" t="str">
        <f t="shared" si="33"/>
        <v>P</v>
      </c>
      <c r="X425" s="36"/>
    </row>
    <row r="426" spans="2:24" ht="20.100000000000001" customHeight="1" x14ac:dyDescent="0.25">
      <c r="B426" s="32">
        <v>416</v>
      </c>
      <c r="C426" s="11"/>
      <c r="D426" s="33"/>
      <c r="E426" s="34"/>
      <c r="F426" s="35"/>
      <c r="G426" s="76"/>
      <c r="H426" s="76"/>
      <c r="I426" s="77">
        <f t="shared" si="31"/>
        <v>0</v>
      </c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9"/>
      <c r="V426" s="82">
        <f t="shared" si="32"/>
        <v>0</v>
      </c>
      <c r="W426" s="13" t="str">
        <f t="shared" si="33"/>
        <v>P</v>
      </c>
      <c r="X426" s="36"/>
    </row>
    <row r="427" spans="2:24" ht="20.100000000000001" customHeight="1" x14ac:dyDescent="0.25">
      <c r="B427" s="32">
        <v>417</v>
      </c>
      <c r="C427" s="11"/>
      <c r="D427" s="33"/>
      <c r="E427" s="34"/>
      <c r="F427" s="35"/>
      <c r="G427" s="76"/>
      <c r="H427" s="76"/>
      <c r="I427" s="77">
        <f t="shared" si="31"/>
        <v>0</v>
      </c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9"/>
      <c r="V427" s="82">
        <f t="shared" si="32"/>
        <v>0</v>
      </c>
      <c r="W427" s="13" t="str">
        <f t="shared" si="33"/>
        <v>P</v>
      </c>
      <c r="X427" s="36"/>
    </row>
    <row r="428" spans="2:24" ht="20.100000000000001" customHeight="1" x14ac:dyDescent="0.25">
      <c r="B428" s="32">
        <v>418</v>
      </c>
      <c r="C428" s="11"/>
      <c r="D428" s="33"/>
      <c r="E428" s="34"/>
      <c r="F428" s="35"/>
      <c r="G428" s="76"/>
      <c r="H428" s="76"/>
      <c r="I428" s="77">
        <f t="shared" si="31"/>
        <v>0</v>
      </c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9"/>
      <c r="V428" s="82">
        <f t="shared" si="32"/>
        <v>0</v>
      </c>
      <c r="W428" s="13" t="str">
        <f t="shared" si="33"/>
        <v>P</v>
      </c>
      <c r="X428" s="36"/>
    </row>
    <row r="429" spans="2:24" ht="20.100000000000001" customHeight="1" x14ac:dyDescent="0.25">
      <c r="B429" s="32">
        <v>419</v>
      </c>
      <c r="C429" s="11"/>
      <c r="D429" s="33"/>
      <c r="E429" s="34"/>
      <c r="F429" s="35"/>
      <c r="G429" s="76"/>
      <c r="H429" s="76"/>
      <c r="I429" s="77">
        <f t="shared" si="31"/>
        <v>0</v>
      </c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9"/>
      <c r="V429" s="82">
        <f t="shared" si="32"/>
        <v>0</v>
      </c>
      <c r="W429" s="13" t="str">
        <f t="shared" si="33"/>
        <v>P</v>
      </c>
      <c r="X429" s="36"/>
    </row>
    <row r="430" spans="2:24" ht="20.100000000000001" customHeight="1" x14ac:dyDescent="0.25">
      <c r="B430" s="32">
        <v>420</v>
      </c>
      <c r="C430" s="11"/>
      <c r="D430" s="33"/>
      <c r="E430" s="34"/>
      <c r="F430" s="35"/>
      <c r="G430" s="76"/>
      <c r="H430" s="76"/>
      <c r="I430" s="77">
        <f t="shared" si="31"/>
        <v>0</v>
      </c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9"/>
      <c r="V430" s="82">
        <f t="shared" si="32"/>
        <v>0</v>
      </c>
      <c r="W430" s="13" t="str">
        <f t="shared" si="33"/>
        <v>P</v>
      </c>
      <c r="X430" s="36"/>
    </row>
    <row r="431" spans="2:24" ht="20.100000000000001" customHeight="1" x14ac:dyDescent="0.25">
      <c r="B431" s="32">
        <v>421</v>
      </c>
      <c r="C431" s="11"/>
      <c r="D431" s="33"/>
      <c r="E431" s="34"/>
      <c r="F431" s="35"/>
      <c r="G431" s="76"/>
      <c r="H431" s="76"/>
      <c r="I431" s="77">
        <f t="shared" si="31"/>
        <v>0</v>
      </c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9"/>
      <c r="V431" s="82">
        <f t="shared" si="32"/>
        <v>0</v>
      </c>
      <c r="W431" s="13" t="str">
        <f t="shared" si="33"/>
        <v>P</v>
      </c>
      <c r="X431" s="36"/>
    </row>
    <row r="432" spans="2:24" ht="20.100000000000001" customHeight="1" x14ac:dyDescent="0.25">
      <c r="B432" s="32">
        <v>422</v>
      </c>
      <c r="C432" s="11"/>
      <c r="D432" s="33"/>
      <c r="E432" s="34"/>
      <c r="F432" s="35"/>
      <c r="G432" s="76"/>
      <c r="H432" s="76"/>
      <c r="I432" s="77">
        <f t="shared" si="31"/>
        <v>0</v>
      </c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9"/>
      <c r="V432" s="82">
        <f t="shared" si="32"/>
        <v>0</v>
      </c>
      <c r="W432" s="13" t="str">
        <f t="shared" si="33"/>
        <v>P</v>
      </c>
      <c r="X432" s="36"/>
    </row>
    <row r="433" spans="2:24" ht="20.100000000000001" customHeight="1" x14ac:dyDescent="0.25">
      <c r="B433" s="32">
        <v>423</v>
      </c>
      <c r="C433" s="11"/>
      <c r="D433" s="33"/>
      <c r="E433" s="34"/>
      <c r="F433" s="35"/>
      <c r="G433" s="76"/>
      <c r="H433" s="76"/>
      <c r="I433" s="77">
        <f t="shared" si="31"/>
        <v>0</v>
      </c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9"/>
      <c r="V433" s="82">
        <f t="shared" si="32"/>
        <v>0</v>
      </c>
      <c r="W433" s="13" t="str">
        <f t="shared" si="33"/>
        <v>P</v>
      </c>
      <c r="X433" s="36"/>
    </row>
    <row r="434" spans="2:24" ht="20.100000000000001" customHeight="1" x14ac:dyDescent="0.25">
      <c r="B434" s="32">
        <v>424</v>
      </c>
      <c r="C434" s="11"/>
      <c r="D434" s="33"/>
      <c r="E434" s="34"/>
      <c r="F434" s="35"/>
      <c r="G434" s="76"/>
      <c r="H434" s="76"/>
      <c r="I434" s="77">
        <f t="shared" si="31"/>
        <v>0</v>
      </c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9"/>
      <c r="V434" s="82">
        <f t="shared" si="32"/>
        <v>0</v>
      </c>
      <c r="W434" s="13" t="str">
        <f t="shared" si="33"/>
        <v>P</v>
      </c>
      <c r="X434" s="36"/>
    </row>
    <row r="435" spans="2:24" ht="20.100000000000001" customHeight="1" x14ac:dyDescent="0.25">
      <c r="B435" s="32">
        <v>425</v>
      </c>
      <c r="C435" s="11"/>
      <c r="D435" s="33"/>
      <c r="E435" s="34"/>
      <c r="F435" s="35"/>
      <c r="G435" s="76"/>
      <c r="H435" s="76"/>
      <c r="I435" s="77">
        <f t="shared" si="31"/>
        <v>0</v>
      </c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9"/>
      <c r="V435" s="82">
        <f t="shared" si="32"/>
        <v>0</v>
      </c>
      <c r="W435" s="13" t="str">
        <f t="shared" si="33"/>
        <v>P</v>
      </c>
      <c r="X435" s="36"/>
    </row>
    <row r="436" spans="2:24" ht="20.100000000000001" customHeight="1" x14ac:dyDescent="0.25">
      <c r="B436" s="32">
        <v>426</v>
      </c>
      <c r="C436" s="11"/>
      <c r="D436" s="33"/>
      <c r="E436" s="34"/>
      <c r="F436" s="35"/>
      <c r="G436" s="76"/>
      <c r="H436" s="76"/>
      <c r="I436" s="77">
        <f t="shared" si="31"/>
        <v>0</v>
      </c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9"/>
      <c r="V436" s="82">
        <f t="shared" si="32"/>
        <v>0</v>
      </c>
      <c r="W436" s="13" t="str">
        <f t="shared" si="33"/>
        <v>P</v>
      </c>
      <c r="X436" s="36"/>
    </row>
    <row r="437" spans="2:24" ht="20.100000000000001" customHeight="1" x14ac:dyDescent="0.25">
      <c r="B437" s="32">
        <v>427</v>
      </c>
      <c r="C437" s="11"/>
      <c r="D437" s="33"/>
      <c r="E437" s="34"/>
      <c r="F437" s="35"/>
      <c r="G437" s="76"/>
      <c r="H437" s="76"/>
      <c r="I437" s="77">
        <f t="shared" si="31"/>
        <v>0</v>
      </c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9"/>
      <c r="V437" s="82">
        <f t="shared" si="32"/>
        <v>0</v>
      </c>
      <c r="W437" s="13" t="str">
        <f t="shared" si="33"/>
        <v>P</v>
      </c>
      <c r="X437" s="36"/>
    </row>
    <row r="438" spans="2:24" ht="20.100000000000001" customHeight="1" x14ac:dyDescent="0.25">
      <c r="B438" s="32">
        <v>428</v>
      </c>
      <c r="C438" s="11"/>
      <c r="D438" s="33"/>
      <c r="E438" s="34"/>
      <c r="F438" s="35"/>
      <c r="G438" s="76"/>
      <c r="H438" s="76"/>
      <c r="I438" s="77">
        <f t="shared" si="31"/>
        <v>0</v>
      </c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9"/>
      <c r="V438" s="82">
        <f t="shared" si="32"/>
        <v>0</v>
      </c>
      <c r="W438" s="13" t="str">
        <f t="shared" si="33"/>
        <v>P</v>
      </c>
      <c r="X438" s="36"/>
    </row>
    <row r="439" spans="2:24" ht="20.100000000000001" customHeight="1" x14ac:dyDescent="0.25">
      <c r="B439" s="32">
        <v>429</v>
      </c>
      <c r="C439" s="11"/>
      <c r="D439" s="33"/>
      <c r="E439" s="34"/>
      <c r="F439" s="35"/>
      <c r="G439" s="76"/>
      <c r="H439" s="76"/>
      <c r="I439" s="77">
        <f t="shared" si="31"/>
        <v>0</v>
      </c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9"/>
      <c r="V439" s="82">
        <f t="shared" ref="V439:V443" si="34">SUM(J439:U439)</f>
        <v>0</v>
      </c>
      <c r="W439" s="13" t="str">
        <f t="shared" ref="W439:W443" si="35">IF(I439=V439,"P","O")</f>
        <v>P</v>
      </c>
      <c r="X439" s="36"/>
    </row>
    <row r="440" spans="2:24" ht="20.100000000000001" customHeight="1" x14ac:dyDescent="0.25">
      <c r="B440" s="32">
        <v>430</v>
      </c>
      <c r="C440" s="11"/>
      <c r="D440" s="33"/>
      <c r="E440" s="34"/>
      <c r="F440" s="35"/>
      <c r="G440" s="76"/>
      <c r="H440" s="76"/>
      <c r="I440" s="77">
        <f t="shared" ref="I440:I503" si="36">G440*H440</f>
        <v>0</v>
      </c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9"/>
      <c r="V440" s="82">
        <f t="shared" si="34"/>
        <v>0</v>
      </c>
      <c r="W440" s="13" t="str">
        <f t="shared" si="35"/>
        <v>P</v>
      </c>
      <c r="X440" s="36"/>
    </row>
    <row r="441" spans="2:24" ht="20.100000000000001" customHeight="1" x14ac:dyDescent="0.25">
      <c r="B441" s="32">
        <v>431</v>
      </c>
      <c r="C441" s="11"/>
      <c r="D441" s="33"/>
      <c r="E441" s="34"/>
      <c r="F441" s="35"/>
      <c r="G441" s="76"/>
      <c r="H441" s="76"/>
      <c r="I441" s="77">
        <f t="shared" si="36"/>
        <v>0</v>
      </c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9"/>
      <c r="V441" s="82">
        <f t="shared" si="34"/>
        <v>0</v>
      </c>
      <c r="W441" s="13" t="str">
        <f t="shared" si="35"/>
        <v>P</v>
      </c>
      <c r="X441" s="36"/>
    </row>
    <row r="442" spans="2:24" ht="20.100000000000001" customHeight="1" x14ac:dyDescent="0.25">
      <c r="B442" s="32">
        <v>432</v>
      </c>
      <c r="C442" s="11"/>
      <c r="D442" s="33"/>
      <c r="E442" s="34"/>
      <c r="F442" s="35"/>
      <c r="G442" s="76"/>
      <c r="H442" s="76"/>
      <c r="I442" s="77">
        <f t="shared" si="36"/>
        <v>0</v>
      </c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9"/>
      <c r="V442" s="82">
        <f t="shared" si="34"/>
        <v>0</v>
      </c>
      <c r="W442" s="13" t="str">
        <f t="shared" si="35"/>
        <v>P</v>
      </c>
      <c r="X442" s="36"/>
    </row>
    <row r="443" spans="2:24" ht="20.100000000000001" customHeight="1" x14ac:dyDescent="0.25">
      <c r="B443" s="32">
        <v>433</v>
      </c>
      <c r="C443" s="11"/>
      <c r="D443" s="33"/>
      <c r="E443" s="34"/>
      <c r="F443" s="35"/>
      <c r="G443" s="76"/>
      <c r="H443" s="76"/>
      <c r="I443" s="77">
        <f t="shared" si="36"/>
        <v>0</v>
      </c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9"/>
      <c r="V443" s="82">
        <f t="shared" si="34"/>
        <v>0</v>
      </c>
      <c r="W443" s="13" t="str">
        <f t="shared" si="35"/>
        <v>P</v>
      </c>
      <c r="X443" s="36"/>
    </row>
    <row r="444" spans="2:24" ht="20.100000000000001" customHeight="1" x14ac:dyDescent="0.25">
      <c r="B444" s="32">
        <v>434</v>
      </c>
      <c r="C444" s="11"/>
      <c r="D444" s="33"/>
      <c r="E444" s="34"/>
      <c r="F444" s="35"/>
      <c r="G444" s="76"/>
      <c r="H444" s="76"/>
      <c r="I444" s="77">
        <f t="shared" si="36"/>
        <v>0</v>
      </c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9"/>
      <c r="V444" s="82">
        <f t="shared" ref="V444:V507" si="37">SUM(J444:U444)</f>
        <v>0</v>
      </c>
      <c r="W444" s="13" t="str">
        <f t="shared" ref="W444:W507" si="38">IF(I444=V444,"P","O")</f>
        <v>P</v>
      </c>
      <c r="X444" s="36"/>
    </row>
    <row r="445" spans="2:24" ht="20.100000000000001" customHeight="1" x14ac:dyDescent="0.25">
      <c r="B445" s="32">
        <v>435</v>
      </c>
      <c r="C445" s="11"/>
      <c r="D445" s="33"/>
      <c r="E445" s="34"/>
      <c r="F445" s="35"/>
      <c r="G445" s="76"/>
      <c r="H445" s="76"/>
      <c r="I445" s="77">
        <f t="shared" si="36"/>
        <v>0</v>
      </c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9"/>
      <c r="V445" s="82">
        <f t="shared" si="37"/>
        <v>0</v>
      </c>
      <c r="W445" s="13" t="str">
        <f t="shared" si="38"/>
        <v>P</v>
      </c>
      <c r="X445" s="36"/>
    </row>
    <row r="446" spans="2:24" ht="20.100000000000001" customHeight="1" x14ac:dyDescent="0.25">
      <c r="B446" s="32">
        <v>436</v>
      </c>
      <c r="C446" s="11"/>
      <c r="D446" s="33"/>
      <c r="E446" s="34"/>
      <c r="F446" s="35"/>
      <c r="G446" s="76"/>
      <c r="H446" s="76"/>
      <c r="I446" s="77">
        <f t="shared" si="36"/>
        <v>0</v>
      </c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9"/>
      <c r="V446" s="82">
        <f t="shared" si="37"/>
        <v>0</v>
      </c>
      <c r="W446" s="13" t="str">
        <f t="shared" si="38"/>
        <v>P</v>
      </c>
      <c r="X446" s="36"/>
    </row>
    <row r="447" spans="2:24" ht="20.100000000000001" customHeight="1" x14ac:dyDescent="0.25">
      <c r="B447" s="32">
        <v>437</v>
      </c>
      <c r="C447" s="11"/>
      <c r="D447" s="33"/>
      <c r="E447" s="34"/>
      <c r="F447" s="35"/>
      <c r="G447" s="76"/>
      <c r="H447" s="76"/>
      <c r="I447" s="77">
        <f t="shared" si="36"/>
        <v>0</v>
      </c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9"/>
      <c r="V447" s="82">
        <f t="shared" si="37"/>
        <v>0</v>
      </c>
      <c r="W447" s="13" t="str">
        <f t="shared" si="38"/>
        <v>P</v>
      </c>
      <c r="X447" s="36"/>
    </row>
    <row r="448" spans="2:24" ht="20.100000000000001" customHeight="1" x14ac:dyDescent="0.25">
      <c r="B448" s="32">
        <v>438</v>
      </c>
      <c r="C448" s="11"/>
      <c r="D448" s="33"/>
      <c r="E448" s="34"/>
      <c r="F448" s="35"/>
      <c r="G448" s="76"/>
      <c r="H448" s="76"/>
      <c r="I448" s="77">
        <f t="shared" si="36"/>
        <v>0</v>
      </c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9"/>
      <c r="V448" s="82">
        <f t="shared" si="37"/>
        <v>0</v>
      </c>
      <c r="W448" s="13" t="str">
        <f t="shared" si="38"/>
        <v>P</v>
      </c>
      <c r="X448" s="36"/>
    </row>
    <row r="449" spans="2:24" ht="20.100000000000001" customHeight="1" x14ac:dyDescent="0.25">
      <c r="B449" s="32">
        <v>439</v>
      </c>
      <c r="C449" s="11"/>
      <c r="D449" s="33"/>
      <c r="E449" s="34"/>
      <c r="F449" s="35"/>
      <c r="G449" s="76"/>
      <c r="H449" s="76"/>
      <c r="I449" s="77">
        <f t="shared" si="36"/>
        <v>0</v>
      </c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9"/>
      <c r="V449" s="82">
        <f t="shared" si="37"/>
        <v>0</v>
      </c>
      <c r="W449" s="13" t="str">
        <f t="shared" si="38"/>
        <v>P</v>
      </c>
      <c r="X449" s="36"/>
    </row>
    <row r="450" spans="2:24" ht="20.100000000000001" customHeight="1" x14ac:dyDescent="0.25">
      <c r="B450" s="32">
        <v>440</v>
      </c>
      <c r="C450" s="11"/>
      <c r="D450" s="33"/>
      <c r="E450" s="34"/>
      <c r="F450" s="35"/>
      <c r="G450" s="76"/>
      <c r="H450" s="76"/>
      <c r="I450" s="77">
        <f t="shared" si="36"/>
        <v>0</v>
      </c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9"/>
      <c r="V450" s="82">
        <f t="shared" si="37"/>
        <v>0</v>
      </c>
      <c r="W450" s="13" t="str">
        <f t="shared" si="38"/>
        <v>P</v>
      </c>
      <c r="X450" s="36"/>
    </row>
    <row r="451" spans="2:24" ht="20.100000000000001" customHeight="1" x14ac:dyDescent="0.25">
      <c r="B451" s="32">
        <v>441</v>
      </c>
      <c r="C451" s="11"/>
      <c r="D451" s="33"/>
      <c r="E451" s="34"/>
      <c r="F451" s="35"/>
      <c r="G451" s="76"/>
      <c r="H451" s="76"/>
      <c r="I451" s="77">
        <f t="shared" si="36"/>
        <v>0</v>
      </c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9"/>
      <c r="V451" s="82">
        <f t="shared" si="37"/>
        <v>0</v>
      </c>
      <c r="W451" s="13" t="str">
        <f t="shared" si="38"/>
        <v>P</v>
      </c>
      <c r="X451" s="36"/>
    </row>
    <row r="452" spans="2:24" ht="20.100000000000001" customHeight="1" x14ac:dyDescent="0.25">
      <c r="B452" s="32">
        <v>442</v>
      </c>
      <c r="C452" s="11"/>
      <c r="D452" s="33"/>
      <c r="E452" s="34"/>
      <c r="F452" s="35"/>
      <c r="G452" s="76"/>
      <c r="H452" s="76"/>
      <c r="I452" s="77">
        <f t="shared" si="36"/>
        <v>0</v>
      </c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9"/>
      <c r="V452" s="82">
        <f t="shared" si="37"/>
        <v>0</v>
      </c>
      <c r="W452" s="13" t="str">
        <f t="shared" si="38"/>
        <v>P</v>
      </c>
      <c r="X452" s="36"/>
    </row>
    <row r="453" spans="2:24" ht="20.100000000000001" customHeight="1" x14ac:dyDescent="0.25">
      <c r="B453" s="32">
        <v>443</v>
      </c>
      <c r="C453" s="11"/>
      <c r="D453" s="33"/>
      <c r="E453" s="34"/>
      <c r="F453" s="35"/>
      <c r="G453" s="76"/>
      <c r="H453" s="76"/>
      <c r="I453" s="77">
        <f t="shared" si="36"/>
        <v>0</v>
      </c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9"/>
      <c r="V453" s="82">
        <f t="shared" si="37"/>
        <v>0</v>
      </c>
      <c r="W453" s="13" t="str">
        <f t="shared" si="38"/>
        <v>P</v>
      </c>
      <c r="X453" s="36"/>
    </row>
    <row r="454" spans="2:24" ht="20.100000000000001" customHeight="1" x14ac:dyDescent="0.25">
      <c r="B454" s="32">
        <v>444</v>
      </c>
      <c r="C454" s="11"/>
      <c r="D454" s="33"/>
      <c r="E454" s="34"/>
      <c r="F454" s="35"/>
      <c r="G454" s="76"/>
      <c r="H454" s="76"/>
      <c r="I454" s="77">
        <f t="shared" si="36"/>
        <v>0</v>
      </c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9"/>
      <c r="V454" s="82">
        <f t="shared" si="37"/>
        <v>0</v>
      </c>
      <c r="W454" s="13" t="str">
        <f t="shared" si="38"/>
        <v>P</v>
      </c>
      <c r="X454" s="36"/>
    </row>
    <row r="455" spans="2:24" ht="20.100000000000001" customHeight="1" x14ac:dyDescent="0.25">
      <c r="B455" s="32">
        <v>445</v>
      </c>
      <c r="C455" s="11"/>
      <c r="D455" s="33"/>
      <c r="E455" s="34"/>
      <c r="F455" s="35"/>
      <c r="G455" s="76"/>
      <c r="H455" s="76"/>
      <c r="I455" s="77">
        <f t="shared" si="36"/>
        <v>0</v>
      </c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9"/>
      <c r="V455" s="82">
        <f t="shared" si="37"/>
        <v>0</v>
      </c>
      <c r="W455" s="13" t="str">
        <f t="shared" si="38"/>
        <v>P</v>
      </c>
      <c r="X455" s="36"/>
    </row>
    <row r="456" spans="2:24" ht="20.100000000000001" customHeight="1" x14ac:dyDescent="0.25">
      <c r="B456" s="32">
        <v>446</v>
      </c>
      <c r="C456" s="11"/>
      <c r="D456" s="33"/>
      <c r="E456" s="34"/>
      <c r="F456" s="35"/>
      <c r="G456" s="76"/>
      <c r="H456" s="76"/>
      <c r="I456" s="77">
        <f t="shared" si="36"/>
        <v>0</v>
      </c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9"/>
      <c r="V456" s="82">
        <f t="shared" si="37"/>
        <v>0</v>
      </c>
      <c r="W456" s="13" t="str">
        <f t="shared" si="38"/>
        <v>P</v>
      </c>
      <c r="X456" s="36"/>
    </row>
    <row r="457" spans="2:24" ht="20.100000000000001" customHeight="1" x14ac:dyDescent="0.25">
      <c r="B457" s="32">
        <v>447</v>
      </c>
      <c r="C457" s="11"/>
      <c r="D457" s="33"/>
      <c r="E457" s="34"/>
      <c r="F457" s="35"/>
      <c r="G457" s="76"/>
      <c r="H457" s="76"/>
      <c r="I457" s="77">
        <f t="shared" si="36"/>
        <v>0</v>
      </c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9"/>
      <c r="V457" s="82">
        <f t="shared" si="37"/>
        <v>0</v>
      </c>
      <c r="W457" s="13" t="str">
        <f t="shared" si="38"/>
        <v>P</v>
      </c>
      <c r="X457" s="36"/>
    </row>
    <row r="458" spans="2:24" ht="20.100000000000001" customHeight="1" x14ac:dyDescent="0.25">
      <c r="B458" s="32">
        <v>448</v>
      </c>
      <c r="C458" s="11"/>
      <c r="D458" s="33"/>
      <c r="E458" s="34"/>
      <c r="F458" s="35"/>
      <c r="G458" s="76"/>
      <c r="H458" s="76"/>
      <c r="I458" s="77">
        <f t="shared" si="36"/>
        <v>0</v>
      </c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9"/>
      <c r="V458" s="82">
        <f t="shared" si="37"/>
        <v>0</v>
      </c>
      <c r="W458" s="13" t="str">
        <f t="shared" si="38"/>
        <v>P</v>
      </c>
      <c r="X458" s="36"/>
    </row>
    <row r="459" spans="2:24" ht="20.100000000000001" customHeight="1" x14ac:dyDescent="0.25">
      <c r="B459" s="32">
        <v>449</v>
      </c>
      <c r="C459" s="11"/>
      <c r="D459" s="33"/>
      <c r="E459" s="34"/>
      <c r="F459" s="35"/>
      <c r="G459" s="76"/>
      <c r="H459" s="76"/>
      <c r="I459" s="77">
        <f t="shared" si="36"/>
        <v>0</v>
      </c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9"/>
      <c r="V459" s="82">
        <f t="shared" si="37"/>
        <v>0</v>
      </c>
      <c r="W459" s="13" t="str">
        <f t="shared" si="38"/>
        <v>P</v>
      </c>
      <c r="X459" s="36"/>
    </row>
    <row r="460" spans="2:24" ht="20.100000000000001" customHeight="1" x14ac:dyDescent="0.25">
      <c r="B460" s="32">
        <v>450</v>
      </c>
      <c r="C460" s="11"/>
      <c r="D460" s="33"/>
      <c r="E460" s="34"/>
      <c r="F460" s="35"/>
      <c r="G460" s="76"/>
      <c r="H460" s="76"/>
      <c r="I460" s="77">
        <f t="shared" si="36"/>
        <v>0</v>
      </c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9"/>
      <c r="V460" s="82">
        <f t="shared" si="37"/>
        <v>0</v>
      </c>
      <c r="W460" s="13" t="str">
        <f t="shared" si="38"/>
        <v>P</v>
      </c>
      <c r="X460" s="36"/>
    </row>
    <row r="461" spans="2:24" ht="20.100000000000001" customHeight="1" x14ac:dyDescent="0.25">
      <c r="B461" s="32">
        <v>451</v>
      </c>
      <c r="C461" s="11"/>
      <c r="D461" s="33"/>
      <c r="E461" s="34"/>
      <c r="F461" s="35"/>
      <c r="G461" s="76"/>
      <c r="H461" s="76"/>
      <c r="I461" s="77">
        <f t="shared" si="36"/>
        <v>0</v>
      </c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9"/>
      <c r="V461" s="82">
        <f t="shared" si="37"/>
        <v>0</v>
      </c>
      <c r="W461" s="13" t="str">
        <f t="shared" si="38"/>
        <v>P</v>
      </c>
      <c r="X461" s="36"/>
    </row>
    <row r="462" spans="2:24" ht="20.100000000000001" customHeight="1" x14ac:dyDescent="0.25">
      <c r="B462" s="32">
        <v>452</v>
      </c>
      <c r="C462" s="11"/>
      <c r="D462" s="33"/>
      <c r="E462" s="34"/>
      <c r="F462" s="35"/>
      <c r="G462" s="76"/>
      <c r="H462" s="76"/>
      <c r="I462" s="77">
        <f t="shared" si="36"/>
        <v>0</v>
      </c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9"/>
      <c r="V462" s="82">
        <f t="shared" si="37"/>
        <v>0</v>
      </c>
      <c r="W462" s="13" t="str">
        <f t="shared" si="38"/>
        <v>P</v>
      </c>
      <c r="X462" s="36"/>
    </row>
    <row r="463" spans="2:24" ht="20.100000000000001" customHeight="1" x14ac:dyDescent="0.25">
      <c r="B463" s="32">
        <v>453</v>
      </c>
      <c r="C463" s="11"/>
      <c r="D463" s="33"/>
      <c r="E463" s="34"/>
      <c r="F463" s="35"/>
      <c r="G463" s="76"/>
      <c r="H463" s="76"/>
      <c r="I463" s="77">
        <f t="shared" si="36"/>
        <v>0</v>
      </c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9"/>
      <c r="V463" s="82">
        <f t="shared" si="37"/>
        <v>0</v>
      </c>
      <c r="W463" s="13" t="str">
        <f t="shared" si="38"/>
        <v>P</v>
      </c>
      <c r="X463" s="36"/>
    </row>
    <row r="464" spans="2:24" ht="20.100000000000001" customHeight="1" x14ac:dyDescent="0.25">
      <c r="B464" s="32">
        <v>454</v>
      </c>
      <c r="C464" s="11"/>
      <c r="D464" s="33"/>
      <c r="E464" s="34"/>
      <c r="F464" s="35"/>
      <c r="G464" s="76"/>
      <c r="H464" s="76"/>
      <c r="I464" s="77">
        <f t="shared" si="36"/>
        <v>0</v>
      </c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9"/>
      <c r="V464" s="82">
        <f t="shared" si="37"/>
        <v>0</v>
      </c>
      <c r="W464" s="13" t="str">
        <f t="shared" si="38"/>
        <v>P</v>
      </c>
      <c r="X464" s="36"/>
    </row>
    <row r="465" spans="2:24" ht="20.100000000000001" customHeight="1" x14ac:dyDescent="0.25">
      <c r="B465" s="32">
        <v>455</v>
      </c>
      <c r="C465" s="11"/>
      <c r="D465" s="33"/>
      <c r="E465" s="34"/>
      <c r="F465" s="35"/>
      <c r="G465" s="76"/>
      <c r="H465" s="76"/>
      <c r="I465" s="77">
        <f t="shared" si="36"/>
        <v>0</v>
      </c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9"/>
      <c r="V465" s="82">
        <f t="shared" si="37"/>
        <v>0</v>
      </c>
      <c r="W465" s="13" t="str">
        <f t="shared" si="38"/>
        <v>P</v>
      </c>
      <c r="X465" s="36"/>
    </row>
    <row r="466" spans="2:24" ht="20.100000000000001" customHeight="1" x14ac:dyDescent="0.25">
      <c r="B466" s="32">
        <v>456</v>
      </c>
      <c r="C466" s="11"/>
      <c r="D466" s="33"/>
      <c r="E466" s="34"/>
      <c r="F466" s="35"/>
      <c r="G466" s="76"/>
      <c r="H466" s="76"/>
      <c r="I466" s="77">
        <f t="shared" si="36"/>
        <v>0</v>
      </c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9"/>
      <c r="V466" s="82">
        <f t="shared" si="37"/>
        <v>0</v>
      </c>
      <c r="W466" s="13" t="str">
        <f t="shared" si="38"/>
        <v>P</v>
      </c>
      <c r="X466" s="36"/>
    </row>
    <row r="467" spans="2:24" ht="20.100000000000001" customHeight="1" x14ac:dyDescent="0.25">
      <c r="B467" s="32">
        <v>457</v>
      </c>
      <c r="C467" s="11"/>
      <c r="D467" s="33"/>
      <c r="E467" s="34"/>
      <c r="F467" s="35"/>
      <c r="G467" s="76"/>
      <c r="H467" s="76"/>
      <c r="I467" s="77">
        <f t="shared" si="36"/>
        <v>0</v>
      </c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9"/>
      <c r="V467" s="82">
        <f t="shared" si="37"/>
        <v>0</v>
      </c>
      <c r="W467" s="13" t="str">
        <f t="shared" si="38"/>
        <v>P</v>
      </c>
      <c r="X467" s="36"/>
    </row>
    <row r="468" spans="2:24" ht="20.100000000000001" customHeight="1" x14ac:dyDescent="0.25">
      <c r="B468" s="32">
        <v>458</v>
      </c>
      <c r="C468" s="11"/>
      <c r="D468" s="33"/>
      <c r="E468" s="34"/>
      <c r="F468" s="35"/>
      <c r="G468" s="76"/>
      <c r="H468" s="76"/>
      <c r="I468" s="77">
        <f t="shared" si="36"/>
        <v>0</v>
      </c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9"/>
      <c r="V468" s="82">
        <f t="shared" si="37"/>
        <v>0</v>
      </c>
      <c r="W468" s="13" t="str">
        <f t="shared" si="38"/>
        <v>P</v>
      </c>
      <c r="X468" s="36"/>
    </row>
    <row r="469" spans="2:24" ht="20.100000000000001" customHeight="1" x14ac:dyDescent="0.25">
      <c r="B469" s="32">
        <v>459</v>
      </c>
      <c r="C469" s="11"/>
      <c r="D469" s="33"/>
      <c r="E469" s="34"/>
      <c r="F469" s="35"/>
      <c r="G469" s="76"/>
      <c r="H469" s="76"/>
      <c r="I469" s="77">
        <f t="shared" si="36"/>
        <v>0</v>
      </c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9"/>
      <c r="V469" s="82">
        <f t="shared" si="37"/>
        <v>0</v>
      </c>
      <c r="W469" s="13" t="str">
        <f t="shared" si="38"/>
        <v>P</v>
      </c>
      <c r="X469" s="36"/>
    </row>
    <row r="470" spans="2:24" ht="20.100000000000001" customHeight="1" x14ac:dyDescent="0.25">
      <c r="B470" s="32">
        <v>460</v>
      </c>
      <c r="C470" s="11"/>
      <c r="D470" s="33"/>
      <c r="E470" s="34"/>
      <c r="F470" s="35"/>
      <c r="G470" s="76"/>
      <c r="H470" s="76"/>
      <c r="I470" s="77">
        <f t="shared" si="36"/>
        <v>0</v>
      </c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9"/>
      <c r="V470" s="82">
        <f t="shared" si="37"/>
        <v>0</v>
      </c>
      <c r="W470" s="13" t="str">
        <f t="shared" si="38"/>
        <v>P</v>
      </c>
      <c r="X470" s="36"/>
    </row>
    <row r="471" spans="2:24" ht="20.100000000000001" customHeight="1" x14ac:dyDescent="0.25">
      <c r="B471" s="32">
        <v>461</v>
      </c>
      <c r="C471" s="11"/>
      <c r="D471" s="33"/>
      <c r="E471" s="34"/>
      <c r="F471" s="35"/>
      <c r="G471" s="76"/>
      <c r="H471" s="76"/>
      <c r="I471" s="77">
        <f t="shared" si="36"/>
        <v>0</v>
      </c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9"/>
      <c r="V471" s="82">
        <f t="shared" si="37"/>
        <v>0</v>
      </c>
      <c r="W471" s="13" t="str">
        <f t="shared" si="38"/>
        <v>P</v>
      </c>
      <c r="X471" s="36"/>
    </row>
    <row r="472" spans="2:24" ht="20.100000000000001" customHeight="1" x14ac:dyDescent="0.25">
      <c r="B472" s="32">
        <v>462</v>
      </c>
      <c r="C472" s="11"/>
      <c r="D472" s="33"/>
      <c r="E472" s="34"/>
      <c r="F472" s="35"/>
      <c r="G472" s="76"/>
      <c r="H472" s="76"/>
      <c r="I472" s="77">
        <f t="shared" si="36"/>
        <v>0</v>
      </c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9"/>
      <c r="V472" s="82">
        <f t="shared" si="37"/>
        <v>0</v>
      </c>
      <c r="W472" s="13" t="str">
        <f t="shared" si="38"/>
        <v>P</v>
      </c>
      <c r="X472" s="36"/>
    </row>
    <row r="473" spans="2:24" ht="20.100000000000001" customHeight="1" x14ac:dyDescent="0.25">
      <c r="B473" s="32">
        <v>463</v>
      </c>
      <c r="C473" s="11"/>
      <c r="D473" s="33"/>
      <c r="E473" s="34"/>
      <c r="F473" s="35"/>
      <c r="G473" s="76"/>
      <c r="H473" s="76"/>
      <c r="I473" s="77">
        <f t="shared" si="36"/>
        <v>0</v>
      </c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9"/>
      <c r="V473" s="82">
        <f t="shared" si="37"/>
        <v>0</v>
      </c>
      <c r="W473" s="13" t="str">
        <f t="shared" si="38"/>
        <v>P</v>
      </c>
      <c r="X473" s="36"/>
    </row>
    <row r="474" spans="2:24" ht="20.100000000000001" customHeight="1" x14ac:dyDescent="0.25">
      <c r="B474" s="32">
        <v>464</v>
      </c>
      <c r="C474" s="11"/>
      <c r="D474" s="33"/>
      <c r="E474" s="34"/>
      <c r="F474" s="35"/>
      <c r="G474" s="76"/>
      <c r="H474" s="76"/>
      <c r="I474" s="77">
        <f t="shared" si="36"/>
        <v>0</v>
      </c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9"/>
      <c r="V474" s="82">
        <f t="shared" si="37"/>
        <v>0</v>
      </c>
      <c r="W474" s="13" t="str">
        <f t="shared" si="38"/>
        <v>P</v>
      </c>
      <c r="X474" s="36"/>
    </row>
    <row r="475" spans="2:24" ht="20.100000000000001" customHeight="1" x14ac:dyDescent="0.25">
      <c r="B475" s="32">
        <v>465</v>
      </c>
      <c r="C475" s="11"/>
      <c r="D475" s="33"/>
      <c r="E475" s="34"/>
      <c r="F475" s="35"/>
      <c r="G475" s="76"/>
      <c r="H475" s="76"/>
      <c r="I475" s="77">
        <f t="shared" si="36"/>
        <v>0</v>
      </c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9"/>
      <c r="V475" s="82">
        <f t="shared" si="37"/>
        <v>0</v>
      </c>
      <c r="W475" s="13" t="str">
        <f t="shared" si="38"/>
        <v>P</v>
      </c>
      <c r="X475" s="36"/>
    </row>
    <row r="476" spans="2:24" ht="20.100000000000001" customHeight="1" x14ac:dyDescent="0.25">
      <c r="B476" s="32">
        <v>466</v>
      </c>
      <c r="C476" s="11"/>
      <c r="D476" s="33"/>
      <c r="E476" s="34"/>
      <c r="F476" s="35"/>
      <c r="G476" s="76"/>
      <c r="H476" s="76"/>
      <c r="I476" s="77">
        <f t="shared" si="36"/>
        <v>0</v>
      </c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9"/>
      <c r="V476" s="82">
        <f t="shared" si="37"/>
        <v>0</v>
      </c>
      <c r="W476" s="13" t="str">
        <f t="shared" si="38"/>
        <v>P</v>
      </c>
      <c r="X476" s="36"/>
    </row>
    <row r="477" spans="2:24" ht="20.100000000000001" customHeight="1" x14ac:dyDescent="0.25">
      <c r="B477" s="32">
        <v>467</v>
      </c>
      <c r="C477" s="11"/>
      <c r="D477" s="33"/>
      <c r="E477" s="34"/>
      <c r="F477" s="35"/>
      <c r="G477" s="76"/>
      <c r="H477" s="76"/>
      <c r="I477" s="77">
        <f t="shared" si="36"/>
        <v>0</v>
      </c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9"/>
      <c r="V477" s="82">
        <f t="shared" si="37"/>
        <v>0</v>
      </c>
      <c r="W477" s="13" t="str">
        <f t="shared" si="38"/>
        <v>P</v>
      </c>
      <c r="X477" s="36"/>
    </row>
    <row r="478" spans="2:24" ht="20.100000000000001" customHeight="1" x14ac:dyDescent="0.25">
      <c r="B478" s="32">
        <v>468</v>
      </c>
      <c r="C478" s="11"/>
      <c r="D478" s="33"/>
      <c r="E478" s="34"/>
      <c r="F478" s="35"/>
      <c r="G478" s="76"/>
      <c r="H478" s="76"/>
      <c r="I478" s="77">
        <f t="shared" si="36"/>
        <v>0</v>
      </c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9"/>
      <c r="V478" s="82">
        <f t="shared" si="37"/>
        <v>0</v>
      </c>
      <c r="W478" s="13" t="str">
        <f t="shared" si="38"/>
        <v>P</v>
      </c>
      <c r="X478" s="36"/>
    </row>
    <row r="479" spans="2:24" ht="20.100000000000001" customHeight="1" x14ac:dyDescent="0.25">
      <c r="B479" s="32">
        <v>469</v>
      </c>
      <c r="C479" s="11"/>
      <c r="D479" s="33"/>
      <c r="E479" s="34"/>
      <c r="F479" s="35"/>
      <c r="G479" s="76"/>
      <c r="H479" s="76"/>
      <c r="I479" s="77">
        <f t="shared" si="36"/>
        <v>0</v>
      </c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9"/>
      <c r="V479" s="82">
        <f t="shared" si="37"/>
        <v>0</v>
      </c>
      <c r="W479" s="13" t="str">
        <f t="shared" si="38"/>
        <v>P</v>
      </c>
      <c r="X479" s="36"/>
    </row>
    <row r="480" spans="2:24" ht="20.100000000000001" customHeight="1" x14ac:dyDescent="0.25">
      <c r="B480" s="32">
        <v>470</v>
      </c>
      <c r="C480" s="11"/>
      <c r="D480" s="33"/>
      <c r="E480" s="34"/>
      <c r="F480" s="35"/>
      <c r="G480" s="76"/>
      <c r="H480" s="76"/>
      <c r="I480" s="77">
        <f t="shared" si="36"/>
        <v>0</v>
      </c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9"/>
      <c r="V480" s="82">
        <f t="shared" si="37"/>
        <v>0</v>
      </c>
      <c r="W480" s="13" t="str">
        <f t="shared" si="38"/>
        <v>P</v>
      </c>
      <c r="X480" s="36"/>
    </row>
    <row r="481" spans="2:24" ht="20.100000000000001" customHeight="1" x14ac:dyDescent="0.25">
      <c r="B481" s="32">
        <v>471</v>
      </c>
      <c r="C481" s="11"/>
      <c r="D481" s="33"/>
      <c r="E481" s="34"/>
      <c r="F481" s="35"/>
      <c r="G481" s="76"/>
      <c r="H481" s="76"/>
      <c r="I481" s="77">
        <f t="shared" si="36"/>
        <v>0</v>
      </c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9"/>
      <c r="V481" s="82">
        <f t="shared" si="37"/>
        <v>0</v>
      </c>
      <c r="W481" s="13" t="str">
        <f t="shared" si="38"/>
        <v>P</v>
      </c>
      <c r="X481" s="36"/>
    </row>
    <row r="482" spans="2:24" ht="20.100000000000001" customHeight="1" x14ac:dyDescent="0.25">
      <c r="B482" s="32">
        <v>472</v>
      </c>
      <c r="C482" s="11"/>
      <c r="D482" s="33"/>
      <c r="E482" s="34"/>
      <c r="F482" s="35"/>
      <c r="G482" s="76"/>
      <c r="H482" s="76"/>
      <c r="I482" s="77">
        <f t="shared" si="36"/>
        <v>0</v>
      </c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9"/>
      <c r="V482" s="82">
        <f t="shared" si="37"/>
        <v>0</v>
      </c>
      <c r="W482" s="13" t="str">
        <f t="shared" si="38"/>
        <v>P</v>
      </c>
      <c r="X482" s="36"/>
    </row>
    <row r="483" spans="2:24" ht="20.100000000000001" customHeight="1" x14ac:dyDescent="0.25">
      <c r="B483" s="32">
        <v>473</v>
      </c>
      <c r="C483" s="11"/>
      <c r="D483" s="33"/>
      <c r="E483" s="34"/>
      <c r="F483" s="35"/>
      <c r="G483" s="76"/>
      <c r="H483" s="76"/>
      <c r="I483" s="77">
        <f t="shared" si="36"/>
        <v>0</v>
      </c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9"/>
      <c r="V483" s="82">
        <f t="shared" si="37"/>
        <v>0</v>
      </c>
      <c r="W483" s="13" t="str">
        <f t="shared" si="38"/>
        <v>P</v>
      </c>
      <c r="X483" s="36"/>
    </row>
    <row r="484" spans="2:24" ht="20.100000000000001" customHeight="1" x14ac:dyDescent="0.25">
      <c r="B484" s="32">
        <v>474</v>
      </c>
      <c r="C484" s="11"/>
      <c r="D484" s="33"/>
      <c r="E484" s="34"/>
      <c r="F484" s="35"/>
      <c r="G484" s="76"/>
      <c r="H484" s="76"/>
      <c r="I484" s="77">
        <f t="shared" si="36"/>
        <v>0</v>
      </c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9"/>
      <c r="V484" s="82">
        <f t="shared" si="37"/>
        <v>0</v>
      </c>
      <c r="W484" s="13" t="str">
        <f t="shared" si="38"/>
        <v>P</v>
      </c>
      <c r="X484" s="36"/>
    </row>
    <row r="485" spans="2:24" ht="20.100000000000001" customHeight="1" x14ac:dyDescent="0.25">
      <c r="B485" s="32">
        <v>475</v>
      </c>
      <c r="C485" s="11"/>
      <c r="D485" s="33"/>
      <c r="E485" s="34"/>
      <c r="F485" s="35"/>
      <c r="G485" s="76"/>
      <c r="H485" s="76"/>
      <c r="I485" s="77">
        <f t="shared" si="36"/>
        <v>0</v>
      </c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9"/>
      <c r="V485" s="82">
        <f t="shared" si="37"/>
        <v>0</v>
      </c>
      <c r="W485" s="13" t="str">
        <f t="shared" si="38"/>
        <v>P</v>
      </c>
      <c r="X485" s="36"/>
    </row>
    <row r="486" spans="2:24" ht="20.100000000000001" customHeight="1" x14ac:dyDescent="0.25">
      <c r="B486" s="32">
        <v>476</v>
      </c>
      <c r="C486" s="11"/>
      <c r="D486" s="33"/>
      <c r="E486" s="34"/>
      <c r="F486" s="35"/>
      <c r="G486" s="76"/>
      <c r="H486" s="76"/>
      <c r="I486" s="77">
        <f t="shared" si="36"/>
        <v>0</v>
      </c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9"/>
      <c r="V486" s="82">
        <f t="shared" si="37"/>
        <v>0</v>
      </c>
      <c r="W486" s="13" t="str">
        <f t="shared" si="38"/>
        <v>P</v>
      </c>
      <c r="X486" s="36"/>
    </row>
    <row r="487" spans="2:24" ht="20.100000000000001" customHeight="1" x14ac:dyDescent="0.25">
      <c r="B487" s="32">
        <v>477</v>
      </c>
      <c r="C487" s="11"/>
      <c r="D487" s="33"/>
      <c r="E487" s="34"/>
      <c r="F487" s="35"/>
      <c r="G487" s="76"/>
      <c r="H487" s="76"/>
      <c r="I487" s="77">
        <f t="shared" si="36"/>
        <v>0</v>
      </c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9"/>
      <c r="V487" s="82">
        <f t="shared" si="37"/>
        <v>0</v>
      </c>
      <c r="W487" s="13" t="str">
        <f t="shared" si="38"/>
        <v>P</v>
      </c>
      <c r="X487" s="36"/>
    </row>
    <row r="488" spans="2:24" ht="20.100000000000001" customHeight="1" x14ac:dyDescent="0.25">
      <c r="B488" s="32">
        <v>478</v>
      </c>
      <c r="C488" s="11"/>
      <c r="D488" s="33"/>
      <c r="E488" s="34"/>
      <c r="F488" s="35"/>
      <c r="G488" s="76"/>
      <c r="H488" s="76"/>
      <c r="I488" s="77">
        <f t="shared" si="36"/>
        <v>0</v>
      </c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9"/>
      <c r="V488" s="82">
        <f t="shared" si="37"/>
        <v>0</v>
      </c>
      <c r="W488" s="13" t="str">
        <f t="shared" si="38"/>
        <v>P</v>
      </c>
      <c r="X488" s="36"/>
    </row>
    <row r="489" spans="2:24" ht="20.100000000000001" customHeight="1" x14ac:dyDescent="0.25">
      <c r="B489" s="32">
        <v>479</v>
      </c>
      <c r="C489" s="11"/>
      <c r="D489" s="33"/>
      <c r="E489" s="34"/>
      <c r="F489" s="35"/>
      <c r="G489" s="76"/>
      <c r="H489" s="76"/>
      <c r="I489" s="77">
        <f t="shared" si="36"/>
        <v>0</v>
      </c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9"/>
      <c r="V489" s="82">
        <f t="shared" si="37"/>
        <v>0</v>
      </c>
      <c r="W489" s="13" t="str">
        <f t="shared" si="38"/>
        <v>P</v>
      </c>
      <c r="X489" s="36"/>
    </row>
    <row r="490" spans="2:24" ht="20.100000000000001" customHeight="1" x14ac:dyDescent="0.25">
      <c r="B490" s="32">
        <v>480</v>
      </c>
      <c r="C490" s="11"/>
      <c r="D490" s="33"/>
      <c r="E490" s="34"/>
      <c r="F490" s="35"/>
      <c r="G490" s="76"/>
      <c r="H490" s="76"/>
      <c r="I490" s="77">
        <f t="shared" si="36"/>
        <v>0</v>
      </c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9"/>
      <c r="V490" s="82">
        <f t="shared" si="37"/>
        <v>0</v>
      </c>
      <c r="W490" s="13" t="str">
        <f t="shared" si="38"/>
        <v>P</v>
      </c>
      <c r="X490" s="36"/>
    </row>
    <row r="491" spans="2:24" ht="20.100000000000001" customHeight="1" x14ac:dyDescent="0.25">
      <c r="B491" s="32">
        <v>481</v>
      </c>
      <c r="C491" s="11"/>
      <c r="D491" s="33"/>
      <c r="E491" s="34"/>
      <c r="F491" s="35"/>
      <c r="G491" s="76"/>
      <c r="H491" s="76"/>
      <c r="I491" s="77">
        <f t="shared" si="36"/>
        <v>0</v>
      </c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9"/>
      <c r="V491" s="82">
        <f t="shared" si="37"/>
        <v>0</v>
      </c>
      <c r="W491" s="13" t="str">
        <f t="shared" si="38"/>
        <v>P</v>
      </c>
      <c r="X491" s="36"/>
    </row>
    <row r="492" spans="2:24" ht="20.100000000000001" customHeight="1" x14ac:dyDescent="0.25">
      <c r="B492" s="32">
        <v>482</v>
      </c>
      <c r="C492" s="11"/>
      <c r="D492" s="33"/>
      <c r="E492" s="34"/>
      <c r="F492" s="35"/>
      <c r="G492" s="76"/>
      <c r="H492" s="76"/>
      <c r="I492" s="77">
        <f t="shared" si="36"/>
        <v>0</v>
      </c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9"/>
      <c r="V492" s="82">
        <f t="shared" si="37"/>
        <v>0</v>
      </c>
      <c r="W492" s="13" t="str">
        <f t="shared" si="38"/>
        <v>P</v>
      </c>
      <c r="X492" s="36"/>
    </row>
    <row r="493" spans="2:24" ht="20.100000000000001" customHeight="1" x14ac:dyDescent="0.25">
      <c r="B493" s="32">
        <v>483</v>
      </c>
      <c r="C493" s="11"/>
      <c r="D493" s="33"/>
      <c r="E493" s="34"/>
      <c r="F493" s="35"/>
      <c r="G493" s="76"/>
      <c r="H493" s="76"/>
      <c r="I493" s="77">
        <f t="shared" si="36"/>
        <v>0</v>
      </c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9"/>
      <c r="V493" s="82">
        <f t="shared" si="37"/>
        <v>0</v>
      </c>
      <c r="W493" s="13" t="str">
        <f t="shared" si="38"/>
        <v>P</v>
      </c>
      <c r="X493" s="36"/>
    </row>
    <row r="494" spans="2:24" ht="20.100000000000001" customHeight="1" x14ac:dyDescent="0.25">
      <c r="B494" s="32">
        <v>484</v>
      </c>
      <c r="C494" s="11"/>
      <c r="D494" s="33"/>
      <c r="E494" s="34"/>
      <c r="F494" s="35"/>
      <c r="G494" s="76"/>
      <c r="H494" s="76"/>
      <c r="I494" s="77">
        <f t="shared" si="36"/>
        <v>0</v>
      </c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9"/>
      <c r="V494" s="82">
        <f t="shared" si="37"/>
        <v>0</v>
      </c>
      <c r="W494" s="13" t="str">
        <f t="shared" si="38"/>
        <v>P</v>
      </c>
      <c r="X494" s="36"/>
    </row>
    <row r="495" spans="2:24" ht="20.100000000000001" customHeight="1" x14ac:dyDescent="0.25">
      <c r="B495" s="32">
        <v>485</v>
      </c>
      <c r="C495" s="11"/>
      <c r="D495" s="33"/>
      <c r="E495" s="34"/>
      <c r="F495" s="35"/>
      <c r="G495" s="76"/>
      <c r="H495" s="76"/>
      <c r="I495" s="77">
        <f t="shared" si="36"/>
        <v>0</v>
      </c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9"/>
      <c r="V495" s="82">
        <f t="shared" si="37"/>
        <v>0</v>
      </c>
      <c r="W495" s="13" t="str">
        <f t="shared" si="38"/>
        <v>P</v>
      </c>
      <c r="X495" s="36"/>
    </row>
    <row r="496" spans="2:24" ht="20.100000000000001" customHeight="1" x14ac:dyDescent="0.25">
      <c r="B496" s="32">
        <v>486</v>
      </c>
      <c r="C496" s="11"/>
      <c r="D496" s="33"/>
      <c r="E496" s="34"/>
      <c r="F496" s="35"/>
      <c r="G496" s="76"/>
      <c r="H496" s="76"/>
      <c r="I496" s="77">
        <f t="shared" si="36"/>
        <v>0</v>
      </c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9"/>
      <c r="V496" s="82">
        <f t="shared" si="37"/>
        <v>0</v>
      </c>
      <c r="W496" s="13" t="str">
        <f t="shared" si="38"/>
        <v>P</v>
      </c>
      <c r="X496" s="36"/>
    </row>
    <row r="497" spans="2:24" ht="20.100000000000001" customHeight="1" x14ac:dyDescent="0.25">
      <c r="B497" s="32">
        <v>487</v>
      </c>
      <c r="C497" s="11"/>
      <c r="D497" s="33"/>
      <c r="E497" s="34"/>
      <c r="F497" s="35"/>
      <c r="G497" s="76"/>
      <c r="H497" s="76"/>
      <c r="I497" s="77">
        <f t="shared" si="36"/>
        <v>0</v>
      </c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9"/>
      <c r="V497" s="82">
        <f t="shared" si="37"/>
        <v>0</v>
      </c>
      <c r="W497" s="13" t="str">
        <f t="shared" si="38"/>
        <v>P</v>
      </c>
      <c r="X497" s="36"/>
    </row>
    <row r="498" spans="2:24" ht="20.100000000000001" customHeight="1" x14ac:dyDescent="0.25">
      <c r="B498" s="32">
        <v>488</v>
      </c>
      <c r="C498" s="11"/>
      <c r="D498" s="33"/>
      <c r="E498" s="34"/>
      <c r="F498" s="35"/>
      <c r="G498" s="76"/>
      <c r="H498" s="76"/>
      <c r="I498" s="77">
        <f t="shared" si="36"/>
        <v>0</v>
      </c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9"/>
      <c r="V498" s="82">
        <f t="shared" si="37"/>
        <v>0</v>
      </c>
      <c r="W498" s="13" t="str">
        <f t="shared" si="38"/>
        <v>P</v>
      </c>
      <c r="X498" s="36"/>
    </row>
    <row r="499" spans="2:24" ht="20.100000000000001" customHeight="1" x14ac:dyDescent="0.25">
      <c r="B499" s="32">
        <v>489</v>
      </c>
      <c r="C499" s="11"/>
      <c r="D499" s="33"/>
      <c r="E499" s="34"/>
      <c r="F499" s="35"/>
      <c r="G499" s="76"/>
      <c r="H499" s="76"/>
      <c r="I499" s="77">
        <f t="shared" si="36"/>
        <v>0</v>
      </c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9"/>
      <c r="V499" s="82">
        <f t="shared" si="37"/>
        <v>0</v>
      </c>
      <c r="W499" s="13" t="str">
        <f t="shared" si="38"/>
        <v>P</v>
      </c>
      <c r="X499" s="36"/>
    </row>
    <row r="500" spans="2:24" ht="20.100000000000001" customHeight="1" x14ac:dyDescent="0.25">
      <c r="B500" s="32">
        <v>490</v>
      </c>
      <c r="C500" s="11"/>
      <c r="D500" s="33"/>
      <c r="E500" s="34"/>
      <c r="F500" s="35"/>
      <c r="G500" s="76"/>
      <c r="H500" s="76"/>
      <c r="I500" s="77">
        <f t="shared" si="36"/>
        <v>0</v>
      </c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9"/>
      <c r="V500" s="82">
        <f t="shared" si="37"/>
        <v>0</v>
      </c>
      <c r="W500" s="13" t="str">
        <f t="shared" si="38"/>
        <v>P</v>
      </c>
      <c r="X500" s="36"/>
    </row>
    <row r="501" spans="2:24" ht="20.100000000000001" customHeight="1" x14ac:dyDescent="0.25">
      <c r="B501" s="32">
        <v>491</v>
      </c>
      <c r="C501" s="11"/>
      <c r="D501" s="33"/>
      <c r="E501" s="34"/>
      <c r="F501" s="35"/>
      <c r="G501" s="76"/>
      <c r="H501" s="76"/>
      <c r="I501" s="77">
        <f t="shared" si="36"/>
        <v>0</v>
      </c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9"/>
      <c r="V501" s="82">
        <f t="shared" si="37"/>
        <v>0</v>
      </c>
      <c r="W501" s="13" t="str">
        <f t="shared" si="38"/>
        <v>P</v>
      </c>
      <c r="X501" s="36"/>
    </row>
    <row r="502" spans="2:24" ht="20.100000000000001" customHeight="1" x14ac:dyDescent="0.25">
      <c r="B502" s="32">
        <v>492</v>
      </c>
      <c r="C502" s="11"/>
      <c r="D502" s="33"/>
      <c r="E502" s="34"/>
      <c r="F502" s="35"/>
      <c r="G502" s="76"/>
      <c r="H502" s="76"/>
      <c r="I502" s="77">
        <f t="shared" si="36"/>
        <v>0</v>
      </c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9"/>
      <c r="V502" s="82">
        <f t="shared" si="37"/>
        <v>0</v>
      </c>
      <c r="W502" s="13" t="str">
        <f t="shared" si="38"/>
        <v>P</v>
      </c>
      <c r="X502" s="36"/>
    </row>
    <row r="503" spans="2:24" ht="20.100000000000001" customHeight="1" x14ac:dyDescent="0.25">
      <c r="B503" s="32">
        <v>493</v>
      </c>
      <c r="C503" s="11"/>
      <c r="D503" s="33"/>
      <c r="E503" s="34"/>
      <c r="F503" s="35"/>
      <c r="G503" s="76"/>
      <c r="H503" s="76"/>
      <c r="I503" s="77">
        <f t="shared" si="36"/>
        <v>0</v>
      </c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9"/>
      <c r="V503" s="82">
        <f t="shared" si="37"/>
        <v>0</v>
      </c>
      <c r="W503" s="13" t="str">
        <f t="shared" si="38"/>
        <v>P</v>
      </c>
      <c r="X503" s="36"/>
    </row>
    <row r="504" spans="2:24" ht="20.100000000000001" customHeight="1" x14ac:dyDescent="0.25">
      <c r="B504" s="32">
        <v>494</v>
      </c>
      <c r="C504" s="11"/>
      <c r="D504" s="33"/>
      <c r="E504" s="34"/>
      <c r="F504" s="35"/>
      <c r="G504" s="76"/>
      <c r="H504" s="76"/>
      <c r="I504" s="77">
        <f t="shared" ref="I504:I554" si="39">G504*H504</f>
        <v>0</v>
      </c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9"/>
      <c r="V504" s="82">
        <f t="shared" si="37"/>
        <v>0</v>
      </c>
      <c r="W504" s="13" t="str">
        <f t="shared" si="38"/>
        <v>P</v>
      </c>
      <c r="X504" s="36"/>
    </row>
    <row r="505" spans="2:24" ht="20.100000000000001" customHeight="1" x14ac:dyDescent="0.25">
      <c r="B505" s="32">
        <v>495</v>
      </c>
      <c r="C505" s="11"/>
      <c r="D505" s="33"/>
      <c r="E505" s="34"/>
      <c r="F505" s="35"/>
      <c r="G505" s="76"/>
      <c r="H505" s="76"/>
      <c r="I505" s="77">
        <f t="shared" si="39"/>
        <v>0</v>
      </c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9"/>
      <c r="V505" s="82">
        <f t="shared" si="37"/>
        <v>0</v>
      </c>
      <c r="W505" s="13" t="str">
        <f t="shared" si="38"/>
        <v>P</v>
      </c>
      <c r="X505" s="36"/>
    </row>
    <row r="506" spans="2:24" ht="20.100000000000001" customHeight="1" x14ac:dyDescent="0.25">
      <c r="B506" s="32">
        <v>496</v>
      </c>
      <c r="C506" s="11"/>
      <c r="D506" s="33"/>
      <c r="E506" s="34"/>
      <c r="F506" s="35"/>
      <c r="G506" s="76"/>
      <c r="H506" s="76"/>
      <c r="I506" s="77">
        <f t="shared" si="39"/>
        <v>0</v>
      </c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9"/>
      <c r="V506" s="82">
        <f t="shared" si="37"/>
        <v>0</v>
      </c>
      <c r="W506" s="13" t="str">
        <f t="shared" si="38"/>
        <v>P</v>
      </c>
      <c r="X506" s="36"/>
    </row>
    <row r="507" spans="2:24" ht="20.100000000000001" customHeight="1" x14ac:dyDescent="0.25">
      <c r="B507" s="32">
        <v>497</v>
      </c>
      <c r="C507" s="11"/>
      <c r="D507" s="33"/>
      <c r="E507" s="34"/>
      <c r="F507" s="35"/>
      <c r="G507" s="76"/>
      <c r="H507" s="76"/>
      <c r="I507" s="77">
        <f t="shared" si="39"/>
        <v>0</v>
      </c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9"/>
      <c r="V507" s="82">
        <f t="shared" si="37"/>
        <v>0</v>
      </c>
      <c r="W507" s="13" t="str">
        <f t="shared" si="38"/>
        <v>P</v>
      </c>
      <c r="X507" s="36"/>
    </row>
    <row r="508" spans="2:24" ht="20.100000000000001" customHeight="1" x14ac:dyDescent="0.25">
      <c r="B508" s="32">
        <v>498</v>
      </c>
      <c r="C508" s="11"/>
      <c r="D508" s="33"/>
      <c r="E508" s="34"/>
      <c r="F508" s="35"/>
      <c r="G508" s="76"/>
      <c r="H508" s="76"/>
      <c r="I508" s="77">
        <f t="shared" si="39"/>
        <v>0</v>
      </c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9"/>
      <c r="V508" s="82">
        <f t="shared" ref="V508:V558" si="40">SUM(J508:U508)</f>
        <v>0</v>
      </c>
      <c r="W508" s="13" t="str">
        <f t="shared" ref="W508:W558" si="41">IF(I508=V508,"P","O")</f>
        <v>P</v>
      </c>
      <c r="X508" s="36"/>
    </row>
    <row r="509" spans="2:24" ht="20.100000000000001" customHeight="1" x14ac:dyDescent="0.25">
      <c r="B509" s="32">
        <v>499</v>
      </c>
      <c r="C509" s="11"/>
      <c r="D509" s="33"/>
      <c r="E509" s="34"/>
      <c r="F509" s="35"/>
      <c r="G509" s="76"/>
      <c r="H509" s="76"/>
      <c r="I509" s="77">
        <f t="shared" si="39"/>
        <v>0</v>
      </c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9"/>
      <c r="V509" s="82">
        <f t="shared" si="40"/>
        <v>0</v>
      </c>
      <c r="W509" s="13" t="str">
        <f t="shared" si="41"/>
        <v>P</v>
      </c>
      <c r="X509" s="36"/>
    </row>
    <row r="510" spans="2:24" ht="20.100000000000001" customHeight="1" x14ac:dyDescent="0.25">
      <c r="B510" s="32">
        <v>500</v>
      </c>
      <c r="C510" s="11"/>
      <c r="D510" s="33"/>
      <c r="E510" s="34"/>
      <c r="F510" s="35"/>
      <c r="G510" s="76"/>
      <c r="H510" s="76"/>
      <c r="I510" s="77">
        <f t="shared" si="39"/>
        <v>0</v>
      </c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9"/>
      <c r="V510" s="82">
        <f t="shared" si="40"/>
        <v>0</v>
      </c>
      <c r="W510" s="13" t="str">
        <f t="shared" si="41"/>
        <v>P</v>
      </c>
      <c r="X510" s="36"/>
    </row>
    <row r="511" spans="2:24" ht="20.100000000000001" customHeight="1" x14ac:dyDescent="0.25">
      <c r="B511" s="32">
        <v>501</v>
      </c>
      <c r="C511" s="11"/>
      <c r="D511" s="33"/>
      <c r="E511" s="34"/>
      <c r="F511" s="35"/>
      <c r="G511" s="76"/>
      <c r="H511" s="76"/>
      <c r="I511" s="77">
        <f t="shared" si="39"/>
        <v>0</v>
      </c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9"/>
      <c r="V511" s="82">
        <f t="shared" si="40"/>
        <v>0</v>
      </c>
      <c r="W511" s="13" t="str">
        <f t="shared" si="41"/>
        <v>P</v>
      </c>
      <c r="X511" s="36"/>
    </row>
    <row r="512" spans="2:24" ht="20.100000000000001" customHeight="1" x14ac:dyDescent="0.25">
      <c r="B512" s="32">
        <v>502</v>
      </c>
      <c r="C512" s="11"/>
      <c r="D512" s="33"/>
      <c r="E512" s="34"/>
      <c r="F512" s="35"/>
      <c r="G512" s="76"/>
      <c r="H512" s="76"/>
      <c r="I512" s="77">
        <f t="shared" si="39"/>
        <v>0</v>
      </c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9"/>
      <c r="V512" s="82">
        <f t="shared" si="40"/>
        <v>0</v>
      </c>
      <c r="W512" s="13" t="str">
        <f t="shared" si="41"/>
        <v>P</v>
      </c>
      <c r="X512" s="36"/>
    </row>
    <row r="513" spans="2:24" ht="20.100000000000001" customHeight="1" x14ac:dyDescent="0.25">
      <c r="B513" s="32">
        <v>503</v>
      </c>
      <c r="C513" s="11"/>
      <c r="D513" s="33"/>
      <c r="E513" s="34"/>
      <c r="F513" s="35"/>
      <c r="G513" s="76"/>
      <c r="H513" s="76"/>
      <c r="I513" s="77">
        <f t="shared" si="39"/>
        <v>0</v>
      </c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9"/>
      <c r="V513" s="82">
        <f t="shared" si="40"/>
        <v>0</v>
      </c>
      <c r="W513" s="13" t="str">
        <f t="shared" si="41"/>
        <v>P</v>
      </c>
      <c r="X513" s="36"/>
    </row>
    <row r="514" spans="2:24" ht="20.100000000000001" customHeight="1" x14ac:dyDescent="0.25">
      <c r="B514" s="32">
        <v>504</v>
      </c>
      <c r="C514" s="11"/>
      <c r="D514" s="33"/>
      <c r="E514" s="34"/>
      <c r="F514" s="35"/>
      <c r="G514" s="76"/>
      <c r="H514" s="76"/>
      <c r="I514" s="77">
        <f t="shared" si="39"/>
        <v>0</v>
      </c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9"/>
      <c r="V514" s="82">
        <f t="shared" si="40"/>
        <v>0</v>
      </c>
      <c r="W514" s="13" t="str">
        <f t="shared" si="41"/>
        <v>P</v>
      </c>
      <c r="X514" s="36"/>
    </row>
    <row r="515" spans="2:24" ht="20.100000000000001" customHeight="1" x14ac:dyDescent="0.25">
      <c r="B515" s="32">
        <v>505</v>
      </c>
      <c r="C515" s="11"/>
      <c r="D515" s="33"/>
      <c r="E515" s="34"/>
      <c r="F515" s="35"/>
      <c r="G515" s="76"/>
      <c r="H515" s="76"/>
      <c r="I515" s="77">
        <f t="shared" si="39"/>
        <v>0</v>
      </c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9"/>
      <c r="V515" s="82">
        <f t="shared" si="40"/>
        <v>0</v>
      </c>
      <c r="W515" s="13" t="str">
        <f t="shared" si="41"/>
        <v>P</v>
      </c>
      <c r="X515" s="36"/>
    </row>
    <row r="516" spans="2:24" ht="20.100000000000001" customHeight="1" x14ac:dyDescent="0.25">
      <c r="B516" s="32">
        <v>506</v>
      </c>
      <c r="C516" s="11"/>
      <c r="D516" s="33"/>
      <c r="E516" s="34"/>
      <c r="F516" s="35"/>
      <c r="G516" s="76"/>
      <c r="H516" s="76"/>
      <c r="I516" s="77">
        <f t="shared" si="39"/>
        <v>0</v>
      </c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9"/>
      <c r="V516" s="82">
        <f t="shared" si="40"/>
        <v>0</v>
      </c>
      <c r="W516" s="13" t="str">
        <f t="shared" si="41"/>
        <v>P</v>
      </c>
      <c r="X516" s="36"/>
    </row>
    <row r="517" spans="2:24" ht="20.100000000000001" customHeight="1" x14ac:dyDescent="0.25">
      <c r="B517" s="32">
        <v>507</v>
      </c>
      <c r="C517" s="11"/>
      <c r="D517" s="33"/>
      <c r="E517" s="34"/>
      <c r="F517" s="35"/>
      <c r="G517" s="76"/>
      <c r="H517" s="76"/>
      <c r="I517" s="77">
        <f t="shared" si="39"/>
        <v>0</v>
      </c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9"/>
      <c r="V517" s="82">
        <f t="shared" si="40"/>
        <v>0</v>
      </c>
      <c r="W517" s="13" t="str">
        <f t="shared" si="41"/>
        <v>P</v>
      </c>
      <c r="X517" s="36"/>
    </row>
    <row r="518" spans="2:24" ht="20.100000000000001" customHeight="1" x14ac:dyDescent="0.25">
      <c r="B518" s="32">
        <v>508</v>
      </c>
      <c r="C518" s="11"/>
      <c r="D518" s="33"/>
      <c r="E518" s="34"/>
      <c r="F518" s="35"/>
      <c r="G518" s="76"/>
      <c r="H518" s="76"/>
      <c r="I518" s="77">
        <f t="shared" si="39"/>
        <v>0</v>
      </c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9"/>
      <c r="V518" s="82">
        <f t="shared" si="40"/>
        <v>0</v>
      </c>
      <c r="W518" s="13" t="str">
        <f t="shared" si="41"/>
        <v>P</v>
      </c>
      <c r="X518" s="36"/>
    </row>
    <row r="519" spans="2:24" ht="20.100000000000001" customHeight="1" x14ac:dyDescent="0.25">
      <c r="B519" s="32">
        <v>509</v>
      </c>
      <c r="C519" s="11"/>
      <c r="D519" s="33"/>
      <c r="E519" s="34"/>
      <c r="F519" s="35"/>
      <c r="G519" s="76"/>
      <c r="H519" s="76"/>
      <c r="I519" s="77">
        <f t="shared" si="39"/>
        <v>0</v>
      </c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9"/>
      <c r="V519" s="82">
        <f t="shared" si="40"/>
        <v>0</v>
      </c>
      <c r="W519" s="13" t="str">
        <f t="shared" si="41"/>
        <v>P</v>
      </c>
      <c r="X519" s="36"/>
    </row>
    <row r="520" spans="2:24" ht="20.100000000000001" customHeight="1" x14ac:dyDescent="0.25">
      <c r="B520" s="32">
        <v>510</v>
      </c>
      <c r="C520" s="11"/>
      <c r="D520" s="33"/>
      <c r="E520" s="34"/>
      <c r="F520" s="35"/>
      <c r="G520" s="76"/>
      <c r="H520" s="76"/>
      <c r="I520" s="77">
        <f t="shared" si="39"/>
        <v>0</v>
      </c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9"/>
      <c r="V520" s="82">
        <f t="shared" si="40"/>
        <v>0</v>
      </c>
      <c r="W520" s="13" t="str">
        <f t="shared" si="41"/>
        <v>P</v>
      </c>
      <c r="X520" s="36"/>
    </row>
    <row r="521" spans="2:24" ht="20.100000000000001" customHeight="1" x14ac:dyDescent="0.25">
      <c r="B521" s="32">
        <v>511</v>
      </c>
      <c r="C521" s="11"/>
      <c r="D521" s="33"/>
      <c r="E521" s="34"/>
      <c r="F521" s="35"/>
      <c r="G521" s="76"/>
      <c r="H521" s="76"/>
      <c r="I521" s="77">
        <f t="shared" si="39"/>
        <v>0</v>
      </c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9"/>
      <c r="V521" s="82">
        <f t="shared" si="40"/>
        <v>0</v>
      </c>
      <c r="W521" s="13" t="str">
        <f t="shared" si="41"/>
        <v>P</v>
      </c>
      <c r="X521" s="36"/>
    </row>
    <row r="522" spans="2:24" ht="20.100000000000001" customHeight="1" x14ac:dyDescent="0.25">
      <c r="B522" s="32">
        <v>512</v>
      </c>
      <c r="C522" s="11"/>
      <c r="D522" s="33"/>
      <c r="E522" s="34"/>
      <c r="F522" s="35"/>
      <c r="G522" s="76"/>
      <c r="H522" s="76"/>
      <c r="I522" s="77">
        <f t="shared" si="39"/>
        <v>0</v>
      </c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9"/>
      <c r="V522" s="82">
        <f t="shared" si="40"/>
        <v>0</v>
      </c>
      <c r="W522" s="13" t="str">
        <f t="shared" si="41"/>
        <v>P</v>
      </c>
      <c r="X522" s="36"/>
    </row>
    <row r="523" spans="2:24" ht="20.100000000000001" customHeight="1" x14ac:dyDescent="0.25">
      <c r="B523" s="32">
        <v>513</v>
      </c>
      <c r="C523" s="11"/>
      <c r="D523" s="33"/>
      <c r="E523" s="34"/>
      <c r="F523" s="35"/>
      <c r="G523" s="76"/>
      <c r="H523" s="76"/>
      <c r="I523" s="77">
        <f t="shared" si="39"/>
        <v>0</v>
      </c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9"/>
      <c r="V523" s="82">
        <f t="shared" si="40"/>
        <v>0</v>
      </c>
      <c r="W523" s="13" t="str">
        <f t="shared" si="41"/>
        <v>P</v>
      </c>
      <c r="X523" s="36"/>
    </row>
    <row r="524" spans="2:24" ht="20.100000000000001" customHeight="1" x14ac:dyDescent="0.25">
      <c r="B524" s="32">
        <v>514</v>
      </c>
      <c r="C524" s="11"/>
      <c r="D524" s="33"/>
      <c r="E524" s="34"/>
      <c r="F524" s="35"/>
      <c r="G524" s="76"/>
      <c r="H524" s="76"/>
      <c r="I524" s="77">
        <f t="shared" si="39"/>
        <v>0</v>
      </c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9"/>
      <c r="V524" s="82">
        <f t="shared" si="40"/>
        <v>0</v>
      </c>
      <c r="W524" s="13" t="str">
        <f t="shared" si="41"/>
        <v>P</v>
      </c>
      <c r="X524" s="36"/>
    </row>
    <row r="525" spans="2:24" ht="20.100000000000001" customHeight="1" x14ac:dyDescent="0.25">
      <c r="B525" s="32">
        <v>515</v>
      </c>
      <c r="C525" s="11"/>
      <c r="D525" s="33"/>
      <c r="E525" s="34"/>
      <c r="F525" s="35"/>
      <c r="G525" s="76"/>
      <c r="H525" s="76"/>
      <c r="I525" s="77">
        <f t="shared" si="39"/>
        <v>0</v>
      </c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9"/>
      <c r="V525" s="82">
        <f t="shared" si="40"/>
        <v>0</v>
      </c>
      <c r="W525" s="13" t="str">
        <f t="shared" si="41"/>
        <v>P</v>
      </c>
      <c r="X525" s="36"/>
    </row>
    <row r="526" spans="2:24" ht="20.100000000000001" customHeight="1" x14ac:dyDescent="0.25">
      <c r="B526" s="32">
        <v>516</v>
      </c>
      <c r="C526" s="11"/>
      <c r="D526" s="33"/>
      <c r="E526" s="34"/>
      <c r="F526" s="35"/>
      <c r="G526" s="76"/>
      <c r="H526" s="76"/>
      <c r="I526" s="77">
        <f t="shared" si="39"/>
        <v>0</v>
      </c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9"/>
      <c r="V526" s="82">
        <f t="shared" si="40"/>
        <v>0</v>
      </c>
      <c r="W526" s="13" t="str">
        <f t="shared" si="41"/>
        <v>P</v>
      </c>
      <c r="X526" s="36"/>
    </row>
    <row r="527" spans="2:24" ht="20.100000000000001" customHeight="1" x14ac:dyDescent="0.25">
      <c r="B527" s="32">
        <v>517</v>
      </c>
      <c r="C527" s="11"/>
      <c r="D527" s="33"/>
      <c r="E527" s="34"/>
      <c r="F527" s="35"/>
      <c r="G527" s="76"/>
      <c r="H527" s="76"/>
      <c r="I527" s="77">
        <f t="shared" si="39"/>
        <v>0</v>
      </c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9"/>
      <c r="V527" s="82">
        <f t="shared" si="40"/>
        <v>0</v>
      </c>
      <c r="W527" s="13" t="str">
        <f t="shared" si="41"/>
        <v>P</v>
      </c>
      <c r="X527" s="36"/>
    </row>
    <row r="528" spans="2:24" ht="20.100000000000001" customHeight="1" x14ac:dyDescent="0.25">
      <c r="B528" s="32">
        <v>518</v>
      </c>
      <c r="C528" s="11"/>
      <c r="D528" s="33"/>
      <c r="E528" s="34"/>
      <c r="F528" s="35"/>
      <c r="G528" s="76"/>
      <c r="H528" s="76"/>
      <c r="I528" s="77">
        <f t="shared" si="39"/>
        <v>0</v>
      </c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9"/>
      <c r="V528" s="82">
        <f t="shared" si="40"/>
        <v>0</v>
      </c>
      <c r="W528" s="13" t="str">
        <f t="shared" si="41"/>
        <v>P</v>
      </c>
      <c r="X528" s="36"/>
    </row>
    <row r="529" spans="2:24" ht="20.100000000000001" customHeight="1" x14ac:dyDescent="0.25">
      <c r="B529" s="32">
        <v>519</v>
      </c>
      <c r="C529" s="11"/>
      <c r="D529" s="33"/>
      <c r="E529" s="34"/>
      <c r="F529" s="35"/>
      <c r="G529" s="76"/>
      <c r="H529" s="76"/>
      <c r="I529" s="77">
        <f t="shared" si="39"/>
        <v>0</v>
      </c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9"/>
      <c r="V529" s="82">
        <f t="shared" si="40"/>
        <v>0</v>
      </c>
      <c r="W529" s="13" t="str">
        <f t="shared" si="41"/>
        <v>P</v>
      </c>
      <c r="X529" s="36"/>
    </row>
    <row r="530" spans="2:24" ht="20.100000000000001" customHeight="1" x14ac:dyDescent="0.25">
      <c r="B530" s="32">
        <v>520</v>
      </c>
      <c r="C530" s="11"/>
      <c r="D530" s="33"/>
      <c r="E530" s="34"/>
      <c r="F530" s="35"/>
      <c r="G530" s="76"/>
      <c r="H530" s="76"/>
      <c r="I530" s="77">
        <f t="shared" si="39"/>
        <v>0</v>
      </c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9"/>
      <c r="V530" s="82">
        <f t="shared" si="40"/>
        <v>0</v>
      </c>
      <c r="W530" s="13" t="str">
        <f t="shared" si="41"/>
        <v>P</v>
      </c>
      <c r="X530" s="36"/>
    </row>
    <row r="531" spans="2:24" ht="20.100000000000001" customHeight="1" x14ac:dyDescent="0.25">
      <c r="B531" s="32">
        <v>521</v>
      </c>
      <c r="C531" s="11"/>
      <c r="D531" s="33"/>
      <c r="E531" s="34"/>
      <c r="F531" s="35"/>
      <c r="G531" s="76"/>
      <c r="H531" s="76"/>
      <c r="I531" s="77">
        <f t="shared" si="39"/>
        <v>0</v>
      </c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9"/>
      <c r="V531" s="82">
        <f t="shared" si="40"/>
        <v>0</v>
      </c>
      <c r="W531" s="13" t="str">
        <f t="shared" si="41"/>
        <v>P</v>
      </c>
      <c r="X531" s="36"/>
    </row>
    <row r="532" spans="2:24" ht="20.100000000000001" customHeight="1" x14ac:dyDescent="0.25">
      <c r="B532" s="32">
        <v>522</v>
      </c>
      <c r="C532" s="11"/>
      <c r="D532" s="33"/>
      <c r="E532" s="34"/>
      <c r="F532" s="35"/>
      <c r="G532" s="76"/>
      <c r="H532" s="76"/>
      <c r="I532" s="77">
        <f t="shared" si="39"/>
        <v>0</v>
      </c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9"/>
      <c r="V532" s="82">
        <f t="shared" si="40"/>
        <v>0</v>
      </c>
      <c r="W532" s="13" t="str">
        <f t="shared" si="41"/>
        <v>P</v>
      </c>
      <c r="X532" s="36"/>
    </row>
    <row r="533" spans="2:24" ht="20.100000000000001" customHeight="1" x14ac:dyDescent="0.25">
      <c r="B533" s="32">
        <v>523</v>
      </c>
      <c r="C533" s="11"/>
      <c r="D533" s="33"/>
      <c r="E533" s="34"/>
      <c r="F533" s="35"/>
      <c r="G533" s="76"/>
      <c r="H533" s="76"/>
      <c r="I533" s="77">
        <f t="shared" si="39"/>
        <v>0</v>
      </c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9"/>
      <c r="V533" s="82">
        <f t="shared" si="40"/>
        <v>0</v>
      </c>
      <c r="W533" s="13" t="str">
        <f t="shared" si="41"/>
        <v>P</v>
      </c>
      <c r="X533" s="36"/>
    </row>
    <row r="534" spans="2:24" ht="20.100000000000001" customHeight="1" x14ac:dyDescent="0.25">
      <c r="B534" s="32">
        <v>524</v>
      </c>
      <c r="C534" s="11"/>
      <c r="D534" s="33"/>
      <c r="E534" s="34"/>
      <c r="F534" s="35"/>
      <c r="G534" s="76"/>
      <c r="H534" s="76"/>
      <c r="I534" s="77">
        <f t="shared" si="39"/>
        <v>0</v>
      </c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9"/>
      <c r="V534" s="82">
        <f t="shared" si="40"/>
        <v>0</v>
      </c>
      <c r="W534" s="13" t="str">
        <f t="shared" si="41"/>
        <v>P</v>
      </c>
      <c r="X534" s="36"/>
    </row>
    <row r="535" spans="2:24" ht="20.100000000000001" customHeight="1" x14ac:dyDescent="0.25">
      <c r="B535" s="32">
        <v>525</v>
      </c>
      <c r="C535" s="11"/>
      <c r="D535" s="33"/>
      <c r="E535" s="34"/>
      <c r="F535" s="35"/>
      <c r="G535" s="76"/>
      <c r="H535" s="76"/>
      <c r="I535" s="77">
        <f t="shared" si="39"/>
        <v>0</v>
      </c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9"/>
      <c r="V535" s="82">
        <f t="shared" si="40"/>
        <v>0</v>
      </c>
      <c r="W535" s="13" t="str">
        <f t="shared" si="41"/>
        <v>P</v>
      </c>
      <c r="X535" s="36"/>
    </row>
    <row r="536" spans="2:24" ht="20.100000000000001" customHeight="1" x14ac:dyDescent="0.25">
      <c r="B536" s="32">
        <v>526</v>
      </c>
      <c r="C536" s="11"/>
      <c r="D536" s="33"/>
      <c r="E536" s="34"/>
      <c r="F536" s="35"/>
      <c r="G536" s="76"/>
      <c r="H536" s="76"/>
      <c r="I536" s="77">
        <f t="shared" si="39"/>
        <v>0</v>
      </c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9"/>
      <c r="V536" s="82">
        <f t="shared" si="40"/>
        <v>0</v>
      </c>
      <c r="W536" s="13" t="str">
        <f t="shared" si="41"/>
        <v>P</v>
      </c>
      <c r="X536" s="36"/>
    </row>
    <row r="537" spans="2:24" ht="20.100000000000001" customHeight="1" x14ac:dyDescent="0.25">
      <c r="B537" s="32">
        <v>527</v>
      </c>
      <c r="C537" s="11"/>
      <c r="D537" s="33"/>
      <c r="E537" s="34"/>
      <c r="F537" s="35"/>
      <c r="G537" s="76"/>
      <c r="H537" s="76"/>
      <c r="I537" s="77">
        <f t="shared" si="39"/>
        <v>0</v>
      </c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9"/>
      <c r="V537" s="82">
        <f t="shared" si="40"/>
        <v>0</v>
      </c>
      <c r="W537" s="13" t="str">
        <f t="shared" si="41"/>
        <v>P</v>
      </c>
      <c r="X537" s="36"/>
    </row>
    <row r="538" spans="2:24" ht="20.100000000000001" customHeight="1" x14ac:dyDescent="0.25">
      <c r="B538" s="32">
        <v>528</v>
      </c>
      <c r="C538" s="11"/>
      <c r="D538" s="33"/>
      <c r="E538" s="34"/>
      <c r="F538" s="35"/>
      <c r="G538" s="76"/>
      <c r="H538" s="76"/>
      <c r="I538" s="77">
        <f t="shared" si="39"/>
        <v>0</v>
      </c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9"/>
      <c r="V538" s="82">
        <f t="shared" si="40"/>
        <v>0</v>
      </c>
      <c r="W538" s="13" t="str">
        <f t="shared" si="41"/>
        <v>P</v>
      </c>
      <c r="X538" s="36"/>
    </row>
    <row r="539" spans="2:24" ht="20.100000000000001" customHeight="1" x14ac:dyDescent="0.25">
      <c r="B539" s="32">
        <v>529</v>
      </c>
      <c r="C539" s="11"/>
      <c r="D539" s="33"/>
      <c r="E539" s="34"/>
      <c r="F539" s="35"/>
      <c r="G539" s="76"/>
      <c r="H539" s="76"/>
      <c r="I539" s="77">
        <f t="shared" si="39"/>
        <v>0</v>
      </c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9"/>
      <c r="V539" s="82">
        <f t="shared" si="40"/>
        <v>0</v>
      </c>
      <c r="W539" s="13" t="str">
        <f t="shared" si="41"/>
        <v>P</v>
      </c>
      <c r="X539" s="36"/>
    </row>
    <row r="540" spans="2:24" ht="20.100000000000001" customHeight="1" x14ac:dyDescent="0.25">
      <c r="B540" s="32">
        <v>530</v>
      </c>
      <c r="C540" s="11"/>
      <c r="D540" s="33"/>
      <c r="E540" s="34"/>
      <c r="F540" s="35"/>
      <c r="G540" s="76"/>
      <c r="H540" s="76"/>
      <c r="I540" s="77">
        <f t="shared" si="39"/>
        <v>0</v>
      </c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9"/>
      <c r="V540" s="82">
        <f t="shared" si="40"/>
        <v>0</v>
      </c>
      <c r="W540" s="13" t="str">
        <f t="shared" si="41"/>
        <v>P</v>
      </c>
      <c r="X540" s="36"/>
    </row>
    <row r="541" spans="2:24" ht="20.100000000000001" customHeight="1" x14ac:dyDescent="0.25">
      <c r="B541" s="32">
        <v>531</v>
      </c>
      <c r="C541" s="11"/>
      <c r="D541" s="33"/>
      <c r="E541" s="34"/>
      <c r="F541" s="35"/>
      <c r="G541" s="76"/>
      <c r="H541" s="76"/>
      <c r="I541" s="77">
        <f t="shared" si="39"/>
        <v>0</v>
      </c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9"/>
      <c r="V541" s="82">
        <f t="shared" si="40"/>
        <v>0</v>
      </c>
      <c r="W541" s="13" t="str">
        <f t="shared" si="41"/>
        <v>P</v>
      </c>
      <c r="X541" s="36"/>
    </row>
    <row r="542" spans="2:24" ht="20.100000000000001" customHeight="1" x14ac:dyDescent="0.25">
      <c r="B542" s="32">
        <v>532</v>
      </c>
      <c r="C542" s="11"/>
      <c r="D542" s="33"/>
      <c r="E542" s="34"/>
      <c r="F542" s="35"/>
      <c r="G542" s="76"/>
      <c r="H542" s="76"/>
      <c r="I542" s="77">
        <f t="shared" si="39"/>
        <v>0</v>
      </c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9"/>
      <c r="V542" s="82">
        <f t="shared" si="40"/>
        <v>0</v>
      </c>
      <c r="W542" s="13" t="str">
        <f t="shared" si="41"/>
        <v>P</v>
      </c>
      <c r="X542" s="36"/>
    </row>
    <row r="543" spans="2:24" ht="20.100000000000001" customHeight="1" x14ac:dyDescent="0.25">
      <c r="B543" s="32">
        <v>533</v>
      </c>
      <c r="C543" s="11"/>
      <c r="D543" s="33"/>
      <c r="E543" s="34"/>
      <c r="F543" s="35"/>
      <c r="G543" s="76"/>
      <c r="H543" s="76"/>
      <c r="I543" s="77">
        <f t="shared" si="39"/>
        <v>0</v>
      </c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9"/>
      <c r="V543" s="82">
        <f t="shared" si="40"/>
        <v>0</v>
      </c>
      <c r="W543" s="13" t="str">
        <f t="shared" si="41"/>
        <v>P</v>
      </c>
      <c r="X543" s="36"/>
    </row>
    <row r="544" spans="2:24" ht="20.100000000000001" customHeight="1" x14ac:dyDescent="0.25">
      <c r="B544" s="32">
        <v>534</v>
      </c>
      <c r="C544" s="11"/>
      <c r="D544" s="33"/>
      <c r="E544" s="34"/>
      <c r="F544" s="35"/>
      <c r="G544" s="76"/>
      <c r="H544" s="76"/>
      <c r="I544" s="77">
        <f t="shared" si="39"/>
        <v>0</v>
      </c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9"/>
      <c r="V544" s="82">
        <f t="shared" si="40"/>
        <v>0</v>
      </c>
      <c r="W544" s="13" t="str">
        <f t="shared" si="41"/>
        <v>P</v>
      </c>
      <c r="X544" s="36"/>
    </row>
    <row r="545" spans="2:24" ht="20.100000000000001" customHeight="1" x14ac:dyDescent="0.25">
      <c r="B545" s="32">
        <v>535</v>
      </c>
      <c r="C545" s="11"/>
      <c r="D545" s="33"/>
      <c r="E545" s="34"/>
      <c r="F545" s="35"/>
      <c r="G545" s="76"/>
      <c r="H545" s="76"/>
      <c r="I545" s="77">
        <f t="shared" si="39"/>
        <v>0</v>
      </c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9"/>
      <c r="V545" s="82">
        <f t="shared" si="40"/>
        <v>0</v>
      </c>
      <c r="W545" s="13" t="str">
        <f t="shared" si="41"/>
        <v>P</v>
      </c>
      <c r="X545" s="36"/>
    </row>
    <row r="546" spans="2:24" ht="20.100000000000001" customHeight="1" x14ac:dyDescent="0.25">
      <c r="B546" s="32">
        <v>536</v>
      </c>
      <c r="C546" s="11"/>
      <c r="D546" s="33"/>
      <c r="E546" s="34"/>
      <c r="F546" s="35"/>
      <c r="G546" s="76"/>
      <c r="H546" s="76"/>
      <c r="I546" s="77">
        <f t="shared" si="39"/>
        <v>0</v>
      </c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9"/>
      <c r="V546" s="82">
        <f t="shared" si="40"/>
        <v>0</v>
      </c>
      <c r="W546" s="13" t="str">
        <f t="shared" si="41"/>
        <v>P</v>
      </c>
      <c r="X546" s="36"/>
    </row>
    <row r="547" spans="2:24" ht="20.100000000000001" customHeight="1" x14ac:dyDescent="0.25">
      <c r="B547" s="32">
        <v>537</v>
      </c>
      <c r="C547" s="11"/>
      <c r="D547" s="33"/>
      <c r="E547" s="34"/>
      <c r="F547" s="35"/>
      <c r="G547" s="76"/>
      <c r="H547" s="76"/>
      <c r="I547" s="77">
        <f t="shared" si="39"/>
        <v>0</v>
      </c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9"/>
      <c r="V547" s="82">
        <f t="shared" si="40"/>
        <v>0</v>
      </c>
      <c r="W547" s="13" t="str">
        <f t="shared" si="41"/>
        <v>P</v>
      </c>
      <c r="X547" s="36"/>
    </row>
    <row r="548" spans="2:24" ht="20.100000000000001" customHeight="1" x14ac:dyDescent="0.25">
      <c r="B548" s="32">
        <v>538</v>
      </c>
      <c r="C548" s="11"/>
      <c r="D548" s="33"/>
      <c r="E548" s="34"/>
      <c r="F548" s="35"/>
      <c r="G548" s="76"/>
      <c r="H548" s="76"/>
      <c r="I548" s="77">
        <f t="shared" si="39"/>
        <v>0</v>
      </c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9"/>
      <c r="V548" s="82">
        <f t="shared" si="40"/>
        <v>0</v>
      </c>
      <c r="W548" s="13" t="str">
        <f t="shared" si="41"/>
        <v>P</v>
      </c>
      <c r="X548" s="36"/>
    </row>
    <row r="549" spans="2:24" ht="20.100000000000001" customHeight="1" x14ac:dyDescent="0.25">
      <c r="B549" s="32">
        <v>539</v>
      </c>
      <c r="C549" s="11"/>
      <c r="D549" s="33"/>
      <c r="E549" s="34"/>
      <c r="F549" s="35"/>
      <c r="G549" s="76"/>
      <c r="H549" s="76"/>
      <c r="I549" s="77">
        <f t="shared" si="39"/>
        <v>0</v>
      </c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9"/>
      <c r="V549" s="82">
        <f t="shared" si="40"/>
        <v>0</v>
      </c>
      <c r="W549" s="13" t="str">
        <f t="shared" si="41"/>
        <v>P</v>
      </c>
      <c r="X549" s="36"/>
    </row>
    <row r="550" spans="2:24" ht="20.100000000000001" customHeight="1" x14ac:dyDescent="0.25">
      <c r="B550" s="32">
        <v>540</v>
      </c>
      <c r="C550" s="11"/>
      <c r="D550" s="33"/>
      <c r="E550" s="34"/>
      <c r="F550" s="35"/>
      <c r="G550" s="76"/>
      <c r="H550" s="76"/>
      <c r="I550" s="77">
        <f t="shared" si="39"/>
        <v>0</v>
      </c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9"/>
      <c r="V550" s="82">
        <f t="shared" si="40"/>
        <v>0</v>
      </c>
      <c r="W550" s="13" t="str">
        <f t="shared" si="41"/>
        <v>P</v>
      </c>
      <c r="X550" s="36"/>
    </row>
    <row r="551" spans="2:24" ht="20.100000000000001" customHeight="1" x14ac:dyDescent="0.25">
      <c r="B551" s="32">
        <v>541</v>
      </c>
      <c r="C551" s="11"/>
      <c r="D551" s="33"/>
      <c r="E551" s="34"/>
      <c r="F551" s="35"/>
      <c r="G551" s="76"/>
      <c r="H551" s="76"/>
      <c r="I551" s="77">
        <f t="shared" si="39"/>
        <v>0</v>
      </c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9"/>
      <c r="V551" s="82">
        <f t="shared" si="40"/>
        <v>0</v>
      </c>
      <c r="W551" s="13" t="str">
        <f t="shared" si="41"/>
        <v>P</v>
      </c>
      <c r="X551" s="36"/>
    </row>
    <row r="552" spans="2:24" ht="20.100000000000001" customHeight="1" x14ac:dyDescent="0.25">
      <c r="B552" s="32">
        <v>542</v>
      </c>
      <c r="C552" s="11"/>
      <c r="D552" s="33"/>
      <c r="E552" s="34"/>
      <c r="F552" s="35"/>
      <c r="G552" s="76"/>
      <c r="H552" s="76"/>
      <c r="I552" s="77">
        <f t="shared" si="39"/>
        <v>0</v>
      </c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9"/>
      <c r="V552" s="82">
        <f t="shared" si="40"/>
        <v>0</v>
      </c>
      <c r="W552" s="13" t="str">
        <f t="shared" si="41"/>
        <v>P</v>
      </c>
      <c r="X552" s="36"/>
    </row>
    <row r="553" spans="2:24" ht="20.100000000000001" customHeight="1" x14ac:dyDescent="0.25">
      <c r="B553" s="32">
        <v>543</v>
      </c>
      <c r="C553" s="11"/>
      <c r="D553" s="33"/>
      <c r="E553" s="34"/>
      <c r="F553" s="35"/>
      <c r="G553" s="76"/>
      <c r="H553" s="76"/>
      <c r="I553" s="77">
        <f t="shared" si="39"/>
        <v>0</v>
      </c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9"/>
      <c r="V553" s="82">
        <f t="shared" si="40"/>
        <v>0</v>
      </c>
      <c r="W553" s="13" t="str">
        <f t="shared" si="41"/>
        <v>P</v>
      </c>
      <c r="X553" s="36"/>
    </row>
    <row r="554" spans="2:24" ht="20.100000000000001" customHeight="1" x14ac:dyDescent="0.25">
      <c r="B554" s="32">
        <v>544</v>
      </c>
      <c r="C554" s="11"/>
      <c r="D554" s="33"/>
      <c r="E554" s="34"/>
      <c r="F554" s="35"/>
      <c r="G554" s="76"/>
      <c r="H554" s="76"/>
      <c r="I554" s="77">
        <f t="shared" si="39"/>
        <v>0</v>
      </c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9"/>
      <c r="V554" s="82">
        <f t="shared" si="40"/>
        <v>0</v>
      </c>
      <c r="W554" s="13" t="str">
        <f t="shared" si="41"/>
        <v>P</v>
      </c>
      <c r="X554" s="36"/>
    </row>
    <row r="555" spans="2:24" ht="20.100000000000001" customHeight="1" x14ac:dyDescent="0.25">
      <c r="B555" s="32">
        <v>545</v>
      </c>
      <c r="C555" s="11"/>
      <c r="D555" s="33"/>
      <c r="E555" s="34"/>
      <c r="F555" s="35"/>
      <c r="G555" s="76"/>
      <c r="H555" s="76"/>
      <c r="I555" s="77">
        <f t="shared" ref="I555:I605" si="42">G555*H555</f>
        <v>0</v>
      </c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9"/>
      <c r="V555" s="82">
        <f t="shared" si="40"/>
        <v>0</v>
      </c>
      <c r="W555" s="13" t="str">
        <f t="shared" si="41"/>
        <v>P</v>
      </c>
      <c r="X555" s="36"/>
    </row>
    <row r="556" spans="2:24" ht="20.100000000000001" customHeight="1" x14ac:dyDescent="0.25">
      <c r="B556" s="32">
        <v>546</v>
      </c>
      <c r="C556" s="11"/>
      <c r="D556" s="33"/>
      <c r="E556" s="34"/>
      <c r="F556" s="35"/>
      <c r="G556" s="76"/>
      <c r="H556" s="76"/>
      <c r="I556" s="77">
        <f t="shared" si="42"/>
        <v>0</v>
      </c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9"/>
      <c r="V556" s="82">
        <f t="shared" si="40"/>
        <v>0</v>
      </c>
      <c r="W556" s="13" t="str">
        <f t="shared" si="41"/>
        <v>P</v>
      </c>
      <c r="X556" s="36"/>
    </row>
    <row r="557" spans="2:24" ht="20.100000000000001" customHeight="1" x14ac:dyDescent="0.25">
      <c r="B557" s="32">
        <v>547</v>
      </c>
      <c r="C557" s="11"/>
      <c r="D557" s="33"/>
      <c r="E557" s="34"/>
      <c r="F557" s="35"/>
      <c r="G557" s="76"/>
      <c r="H557" s="76"/>
      <c r="I557" s="77">
        <f t="shared" si="42"/>
        <v>0</v>
      </c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9"/>
      <c r="V557" s="82">
        <f t="shared" si="40"/>
        <v>0</v>
      </c>
      <c r="W557" s="13" t="str">
        <f t="shared" si="41"/>
        <v>P</v>
      </c>
      <c r="X557" s="36"/>
    </row>
    <row r="558" spans="2:24" ht="20.100000000000001" customHeight="1" x14ac:dyDescent="0.25">
      <c r="B558" s="32">
        <v>548</v>
      </c>
      <c r="C558" s="11"/>
      <c r="D558" s="33"/>
      <c r="E558" s="34"/>
      <c r="F558" s="35"/>
      <c r="G558" s="76"/>
      <c r="H558" s="76"/>
      <c r="I558" s="77">
        <f t="shared" si="42"/>
        <v>0</v>
      </c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9"/>
      <c r="V558" s="82">
        <f t="shared" si="40"/>
        <v>0</v>
      </c>
      <c r="W558" s="13" t="str">
        <f t="shared" si="41"/>
        <v>P</v>
      </c>
      <c r="X558" s="36"/>
    </row>
    <row r="559" spans="2:24" ht="20.100000000000001" customHeight="1" x14ac:dyDescent="0.25">
      <c r="B559" s="32">
        <v>549</v>
      </c>
      <c r="C559" s="11"/>
      <c r="D559" s="33"/>
      <c r="E559" s="34"/>
      <c r="F559" s="35"/>
      <c r="G559" s="76"/>
      <c r="H559" s="76"/>
      <c r="I559" s="77">
        <f t="shared" si="42"/>
        <v>0</v>
      </c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9"/>
      <c r="V559" s="82">
        <f t="shared" ref="V559:V609" si="43">SUM(J559:U559)</f>
        <v>0</v>
      </c>
      <c r="W559" s="13" t="str">
        <f t="shared" ref="W559:W609" si="44">IF(I559=V559,"P","O")</f>
        <v>P</v>
      </c>
      <c r="X559" s="36"/>
    </row>
    <row r="560" spans="2:24" ht="20.100000000000001" customHeight="1" x14ac:dyDescent="0.25">
      <c r="B560" s="32">
        <v>550</v>
      </c>
      <c r="C560" s="11"/>
      <c r="D560" s="33"/>
      <c r="E560" s="34"/>
      <c r="F560" s="35"/>
      <c r="G560" s="76"/>
      <c r="H560" s="76"/>
      <c r="I560" s="77">
        <f t="shared" si="42"/>
        <v>0</v>
      </c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9"/>
      <c r="V560" s="82">
        <f t="shared" si="43"/>
        <v>0</v>
      </c>
      <c r="W560" s="13" t="str">
        <f t="shared" si="44"/>
        <v>P</v>
      </c>
      <c r="X560" s="36"/>
    </row>
    <row r="561" spans="2:24" ht="20.100000000000001" customHeight="1" x14ac:dyDescent="0.25">
      <c r="B561" s="32">
        <v>551</v>
      </c>
      <c r="C561" s="11"/>
      <c r="D561" s="33"/>
      <c r="E561" s="34"/>
      <c r="F561" s="35"/>
      <c r="G561" s="76"/>
      <c r="H561" s="76"/>
      <c r="I561" s="77">
        <f t="shared" si="42"/>
        <v>0</v>
      </c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9"/>
      <c r="V561" s="82">
        <f t="shared" si="43"/>
        <v>0</v>
      </c>
      <c r="W561" s="13" t="str">
        <f t="shared" si="44"/>
        <v>P</v>
      </c>
      <c r="X561" s="36"/>
    </row>
    <row r="562" spans="2:24" ht="20.100000000000001" customHeight="1" x14ac:dyDescent="0.25">
      <c r="B562" s="32">
        <v>552</v>
      </c>
      <c r="C562" s="11"/>
      <c r="D562" s="33"/>
      <c r="E562" s="34"/>
      <c r="F562" s="35"/>
      <c r="G562" s="76"/>
      <c r="H562" s="76"/>
      <c r="I562" s="77">
        <f t="shared" si="42"/>
        <v>0</v>
      </c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9"/>
      <c r="V562" s="82">
        <f t="shared" si="43"/>
        <v>0</v>
      </c>
      <c r="W562" s="13" t="str">
        <f t="shared" si="44"/>
        <v>P</v>
      </c>
      <c r="X562" s="36"/>
    </row>
    <row r="563" spans="2:24" ht="20.100000000000001" customHeight="1" x14ac:dyDescent="0.25">
      <c r="B563" s="32">
        <v>553</v>
      </c>
      <c r="C563" s="11"/>
      <c r="D563" s="33"/>
      <c r="E563" s="34"/>
      <c r="F563" s="35"/>
      <c r="G563" s="76"/>
      <c r="H563" s="76"/>
      <c r="I563" s="77">
        <f t="shared" si="42"/>
        <v>0</v>
      </c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9"/>
      <c r="V563" s="82">
        <f t="shared" si="43"/>
        <v>0</v>
      </c>
      <c r="W563" s="13" t="str">
        <f t="shared" si="44"/>
        <v>P</v>
      </c>
      <c r="X563" s="36"/>
    </row>
    <row r="564" spans="2:24" ht="20.100000000000001" customHeight="1" x14ac:dyDescent="0.25">
      <c r="B564" s="32">
        <v>554</v>
      </c>
      <c r="C564" s="11"/>
      <c r="D564" s="33"/>
      <c r="E564" s="34"/>
      <c r="F564" s="35"/>
      <c r="G564" s="76"/>
      <c r="H564" s="76"/>
      <c r="I564" s="77">
        <f t="shared" si="42"/>
        <v>0</v>
      </c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9"/>
      <c r="V564" s="82">
        <f t="shared" si="43"/>
        <v>0</v>
      </c>
      <c r="W564" s="13" t="str">
        <f t="shared" si="44"/>
        <v>P</v>
      </c>
      <c r="X564" s="36"/>
    </row>
    <row r="565" spans="2:24" ht="20.100000000000001" customHeight="1" x14ac:dyDescent="0.25">
      <c r="B565" s="32">
        <v>555</v>
      </c>
      <c r="C565" s="11"/>
      <c r="D565" s="33"/>
      <c r="E565" s="34"/>
      <c r="F565" s="35"/>
      <c r="G565" s="76"/>
      <c r="H565" s="76"/>
      <c r="I565" s="77">
        <f t="shared" si="42"/>
        <v>0</v>
      </c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9"/>
      <c r="V565" s="82">
        <f t="shared" si="43"/>
        <v>0</v>
      </c>
      <c r="W565" s="13" t="str">
        <f t="shared" si="44"/>
        <v>P</v>
      </c>
      <c r="X565" s="36"/>
    </row>
    <row r="566" spans="2:24" ht="20.100000000000001" customHeight="1" x14ac:dyDescent="0.25">
      <c r="B566" s="32">
        <v>556</v>
      </c>
      <c r="C566" s="11"/>
      <c r="D566" s="33"/>
      <c r="E566" s="34"/>
      <c r="F566" s="35"/>
      <c r="G566" s="76"/>
      <c r="H566" s="76"/>
      <c r="I566" s="77">
        <f t="shared" si="42"/>
        <v>0</v>
      </c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9"/>
      <c r="V566" s="82">
        <f t="shared" si="43"/>
        <v>0</v>
      </c>
      <c r="W566" s="13" t="str">
        <f t="shared" si="44"/>
        <v>P</v>
      </c>
      <c r="X566" s="36"/>
    </row>
    <row r="567" spans="2:24" ht="20.100000000000001" customHeight="1" x14ac:dyDescent="0.25">
      <c r="B567" s="32">
        <v>557</v>
      </c>
      <c r="C567" s="11"/>
      <c r="D567" s="33"/>
      <c r="E567" s="34"/>
      <c r="F567" s="35"/>
      <c r="G567" s="76"/>
      <c r="H567" s="76"/>
      <c r="I567" s="77">
        <f t="shared" si="42"/>
        <v>0</v>
      </c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9"/>
      <c r="V567" s="82">
        <f t="shared" si="43"/>
        <v>0</v>
      </c>
      <c r="W567" s="13" t="str">
        <f t="shared" si="44"/>
        <v>P</v>
      </c>
      <c r="X567" s="36"/>
    </row>
    <row r="568" spans="2:24" ht="20.100000000000001" customHeight="1" x14ac:dyDescent="0.25">
      <c r="B568" s="32">
        <v>558</v>
      </c>
      <c r="C568" s="11"/>
      <c r="D568" s="33"/>
      <c r="E568" s="34"/>
      <c r="F568" s="35"/>
      <c r="G568" s="76"/>
      <c r="H568" s="76"/>
      <c r="I568" s="77">
        <f t="shared" si="42"/>
        <v>0</v>
      </c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9"/>
      <c r="V568" s="82">
        <f t="shared" si="43"/>
        <v>0</v>
      </c>
      <c r="W568" s="13" t="str">
        <f t="shared" si="44"/>
        <v>P</v>
      </c>
      <c r="X568" s="36"/>
    </row>
    <row r="569" spans="2:24" ht="20.100000000000001" customHeight="1" x14ac:dyDescent="0.25">
      <c r="B569" s="32">
        <v>559</v>
      </c>
      <c r="C569" s="11"/>
      <c r="D569" s="33"/>
      <c r="E569" s="34"/>
      <c r="F569" s="35"/>
      <c r="G569" s="76"/>
      <c r="H569" s="76"/>
      <c r="I569" s="77">
        <f t="shared" si="42"/>
        <v>0</v>
      </c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9"/>
      <c r="V569" s="82">
        <f t="shared" si="43"/>
        <v>0</v>
      </c>
      <c r="W569" s="13" t="str">
        <f t="shared" si="44"/>
        <v>P</v>
      </c>
      <c r="X569" s="36"/>
    </row>
    <row r="570" spans="2:24" ht="20.100000000000001" customHeight="1" x14ac:dyDescent="0.25">
      <c r="B570" s="32">
        <v>560</v>
      </c>
      <c r="C570" s="11"/>
      <c r="D570" s="33"/>
      <c r="E570" s="34"/>
      <c r="F570" s="35"/>
      <c r="G570" s="76"/>
      <c r="H570" s="76"/>
      <c r="I570" s="77">
        <f t="shared" si="42"/>
        <v>0</v>
      </c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9"/>
      <c r="V570" s="82">
        <f t="shared" si="43"/>
        <v>0</v>
      </c>
      <c r="W570" s="13" t="str">
        <f t="shared" si="44"/>
        <v>P</v>
      </c>
      <c r="X570" s="36"/>
    </row>
    <row r="571" spans="2:24" ht="20.100000000000001" customHeight="1" x14ac:dyDescent="0.25">
      <c r="B571" s="32">
        <v>561</v>
      </c>
      <c r="C571" s="11"/>
      <c r="D571" s="33"/>
      <c r="E571" s="34"/>
      <c r="F571" s="35"/>
      <c r="G571" s="76"/>
      <c r="H571" s="76"/>
      <c r="I571" s="77">
        <f t="shared" si="42"/>
        <v>0</v>
      </c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9"/>
      <c r="V571" s="82">
        <f t="shared" si="43"/>
        <v>0</v>
      </c>
      <c r="W571" s="13" t="str">
        <f t="shared" si="44"/>
        <v>P</v>
      </c>
      <c r="X571" s="36"/>
    </row>
    <row r="572" spans="2:24" ht="20.100000000000001" customHeight="1" x14ac:dyDescent="0.25">
      <c r="B572" s="32">
        <v>562</v>
      </c>
      <c r="C572" s="11"/>
      <c r="D572" s="33"/>
      <c r="E572" s="34"/>
      <c r="F572" s="35"/>
      <c r="G572" s="76"/>
      <c r="H572" s="76"/>
      <c r="I572" s="77">
        <f t="shared" si="42"/>
        <v>0</v>
      </c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9"/>
      <c r="V572" s="82">
        <f t="shared" si="43"/>
        <v>0</v>
      </c>
      <c r="W572" s="13" t="str">
        <f t="shared" si="44"/>
        <v>P</v>
      </c>
      <c r="X572" s="36"/>
    </row>
    <row r="573" spans="2:24" ht="20.100000000000001" customHeight="1" x14ac:dyDescent="0.25">
      <c r="B573" s="32">
        <v>563</v>
      </c>
      <c r="C573" s="11"/>
      <c r="D573" s="33"/>
      <c r="E573" s="34"/>
      <c r="F573" s="35"/>
      <c r="G573" s="76"/>
      <c r="H573" s="76"/>
      <c r="I573" s="77">
        <f t="shared" si="42"/>
        <v>0</v>
      </c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9"/>
      <c r="V573" s="82">
        <f t="shared" si="43"/>
        <v>0</v>
      </c>
      <c r="W573" s="13" t="str">
        <f t="shared" si="44"/>
        <v>P</v>
      </c>
      <c r="X573" s="36"/>
    </row>
    <row r="574" spans="2:24" ht="20.100000000000001" customHeight="1" x14ac:dyDescent="0.25">
      <c r="B574" s="32">
        <v>564</v>
      </c>
      <c r="C574" s="11"/>
      <c r="D574" s="33"/>
      <c r="E574" s="34"/>
      <c r="F574" s="35"/>
      <c r="G574" s="76"/>
      <c r="H574" s="76"/>
      <c r="I574" s="77">
        <f t="shared" si="42"/>
        <v>0</v>
      </c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9"/>
      <c r="V574" s="82">
        <f t="shared" si="43"/>
        <v>0</v>
      </c>
      <c r="W574" s="13" t="str">
        <f t="shared" si="44"/>
        <v>P</v>
      </c>
      <c r="X574" s="36"/>
    </row>
    <row r="575" spans="2:24" ht="20.100000000000001" customHeight="1" x14ac:dyDescent="0.25">
      <c r="B575" s="32">
        <v>565</v>
      </c>
      <c r="C575" s="11"/>
      <c r="D575" s="33"/>
      <c r="E575" s="34"/>
      <c r="F575" s="35"/>
      <c r="G575" s="76"/>
      <c r="H575" s="76"/>
      <c r="I575" s="77">
        <f t="shared" si="42"/>
        <v>0</v>
      </c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9"/>
      <c r="V575" s="82">
        <f t="shared" si="43"/>
        <v>0</v>
      </c>
      <c r="W575" s="13" t="str">
        <f t="shared" si="44"/>
        <v>P</v>
      </c>
      <c r="X575" s="36"/>
    </row>
    <row r="576" spans="2:24" ht="20.100000000000001" customHeight="1" x14ac:dyDescent="0.25">
      <c r="B576" s="32">
        <v>566</v>
      </c>
      <c r="C576" s="11"/>
      <c r="D576" s="33"/>
      <c r="E576" s="34"/>
      <c r="F576" s="35"/>
      <c r="G576" s="76"/>
      <c r="H576" s="76"/>
      <c r="I576" s="77">
        <f t="shared" si="42"/>
        <v>0</v>
      </c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9"/>
      <c r="V576" s="82">
        <f t="shared" si="43"/>
        <v>0</v>
      </c>
      <c r="W576" s="13" t="str">
        <f t="shared" si="44"/>
        <v>P</v>
      </c>
      <c r="X576" s="36"/>
    </row>
    <row r="577" spans="2:24" ht="20.100000000000001" customHeight="1" x14ac:dyDescent="0.25">
      <c r="B577" s="32">
        <v>567</v>
      </c>
      <c r="C577" s="11"/>
      <c r="D577" s="33"/>
      <c r="E577" s="34"/>
      <c r="F577" s="35"/>
      <c r="G577" s="76"/>
      <c r="H577" s="76"/>
      <c r="I577" s="77">
        <f t="shared" si="42"/>
        <v>0</v>
      </c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9"/>
      <c r="V577" s="82">
        <f t="shared" si="43"/>
        <v>0</v>
      </c>
      <c r="W577" s="13" t="str">
        <f t="shared" si="44"/>
        <v>P</v>
      </c>
      <c r="X577" s="36"/>
    </row>
    <row r="578" spans="2:24" ht="20.100000000000001" customHeight="1" x14ac:dyDescent="0.25">
      <c r="B578" s="32">
        <v>568</v>
      </c>
      <c r="C578" s="11"/>
      <c r="D578" s="33"/>
      <c r="E578" s="34"/>
      <c r="F578" s="35"/>
      <c r="G578" s="76"/>
      <c r="H578" s="76"/>
      <c r="I578" s="77">
        <f t="shared" si="42"/>
        <v>0</v>
      </c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9"/>
      <c r="V578" s="82">
        <f t="shared" si="43"/>
        <v>0</v>
      </c>
      <c r="W578" s="13" t="str">
        <f t="shared" si="44"/>
        <v>P</v>
      </c>
      <c r="X578" s="36"/>
    </row>
    <row r="579" spans="2:24" ht="20.100000000000001" customHeight="1" x14ac:dyDescent="0.25">
      <c r="B579" s="32">
        <v>569</v>
      </c>
      <c r="C579" s="11"/>
      <c r="D579" s="33"/>
      <c r="E579" s="34"/>
      <c r="F579" s="35"/>
      <c r="G579" s="76"/>
      <c r="H579" s="76"/>
      <c r="I579" s="77">
        <f t="shared" si="42"/>
        <v>0</v>
      </c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9"/>
      <c r="V579" s="82">
        <f t="shared" si="43"/>
        <v>0</v>
      </c>
      <c r="W579" s="13" t="str">
        <f t="shared" si="44"/>
        <v>P</v>
      </c>
      <c r="X579" s="36"/>
    </row>
    <row r="580" spans="2:24" ht="20.100000000000001" customHeight="1" x14ac:dyDescent="0.25">
      <c r="B580" s="32">
        <v>570</v>
      </c>
      <c r="C580" s="11"/>
      <c r="D580" s="33"/>
      <c r="E580" s="34"/>
      <c r="F580" s="35"/>
      <c r="G580" s="76"/>
      <c r="H580" s="76"/>
      <c r="I580" s="77">
        <f t="shared" si="42"/>
        <v>0</v>
      </c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9"/>
      <c r="V580" s="82">
        <f t="shared" si="43"/>
        <v>0</v>
      </c>
      <c r="W580" s="13" t="str">
        <f t="shared" si="44"/>
        <v>P</v>
      </c>
      <c r="X580" s="36"/>
    </row>
    <row r="581" spans="2:24" ht="20.100000000000001" customHeight="1" x14ac:dyDescent="0.25">
      <c r="B581" s="32">
        <v>571</v>
      </c>
      <c r="C581" s="11"/>
      <c r="D581" s="33"/>
      <c r="E581" s="34"/>
      <c r="F581" s="35"/>
      <c r="G581" s="76"/>
      <c r="H581" s="76"/>
      <c r="I581" s="77">
        <f t="shared" si="42"/>
        <v>0</v>
      </c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9"/>
      <c r="V581" s="82">
        <f t="shared" si="43"/>
        <v>0</v>
      </c>
      <c r="W581" s="13" t="str">
        <f t="shared" si="44"/>
        <v>P</v>
      </c>
      <c r="X581" s="36"/>
    </row>
    <row r="582" spans="2:24" ht="20.100000000000001" customHeight="1" x14ac:dyDescent="0.25">
      <c r="B582" s="32">
        <v>572</v>
      </c>
      <c r="C582" s="11"/>
      <c r="D582" s="33"/>
      <c r="E582" s="34"/>
      <c r="F582" s="35"/>
      <c r="G582" s="76"/>
      <c r="H582" s="76"/>
      <c r="I582" s="77">
        <f t="shared" si="42"/>
        <v>0</v>
      </c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9"/>
      <c r="V582" s="82">
        <f t="shared" si="43"/>
        <v>0</v>
      </c>
      <c r="W582" s="13" t="str">
        <f t="shared" si="44"/>
        <v>P</v>
      </c>
      <c r="X582" s="36"/>
    </row>
    <row r="583" spans="2:24" ht="20.100000000000001" customHeight="1" x14ac:dyDescent="0.25">
      <c r="B583" s="32">
        <v>573</v>
      </c>
      <c r="C583" s="11"/>
      <c r="D583" s="33"/>
      <c r="E583" s="34"/>
      <c r="F583" s="35"/>
      <c r="G583" s="76"/>
      <c r="H583" s="76"/>
      <c r="I583" s="77">
        <f t="shared" si="42"/>
        <v>0</v>
      </c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9"/>
      <c r="V583" s="82">
        <f t="shared" si="43"/>
        <v>0</v>
      </c>
      <c r="W583" s="13" t="str">
        <f t="shared" si="44"/>
        <v>P</v>
      </c>
      <c r="X583" s="36"/>
    </row>
    <row r="584" spans="2:24" ht="20.100000000000001" customHeight="1" x14ac:dyDescent="0.25">
      <c r="B584" s="32">
        <v>574</v>
      </c>
      <c r="C584" s="11"/>
      <c r="D584" s="33"/>
      <c r="E584" s="34"/>
      <c r="F584" s="35"/>
      <c r="G584" s="76"/>
      <c r="H584" s="76"/>
      <c r="I584" s="77">
        <f t="shared" si="42"/>
        <v>0</v>
      </c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9"/>
      <c r="V584" s="82">
        <f t="shared" si="43"/>
        <v>0</v>
      </c>
      <c r="W584" s="13" t="str">
        <f t="shared" si="44"/>
        <v>P</v>
      </c>
      <c r="X584" s="36"/>
    </row>
    <row r="585" spans="2:24" ht="20.100000000000001" customHeight="1" x14ac:dyDescent="0.25">
      <c r="B585" s="32">
        <v>575</v>
      </c>
      <c r="C585" s="11"/>
      <c r="D585" s="33"/>
      <c r="E585" s="34"/>
      <c r="F585" s="35"/>
      <c r="G585" s="76"/>
      <c r="H585" s="76"/>
      <c r="I585" s="77">
        <f t="shared" si="42"/>
        <v>0</v>
      </c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9"/>
      <c r="V585" s="82">
        <f t="shared" si="43"/>
        <v>0</v>
      </c>
      <c r="W585" s="13" t="str">
        <f t="shared" si="44"/>
        <v>P</v>
      </c>
      <c r="X585" s="36"/>
    </row>
    <row r="586" spans="2:24" ht="20.100000000000001" customHeight="1" x14ac:dyDescent="0.25">
      <c r="B586" s="32">
        <v>576</v>
      </c>
      <c r="C586" s="11"/>
      <c r="D586" s="33"/>
      <c r="E586" s="34"/>
      <c r="F586" s="35"/>
      <c r="G586" s="76"/>
      <c r="H586" s="76"/>
      <c r="I586" s="77">
        <f t="shared" si="42"/>
        <v>0</v>
      </c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9"/>
      <c r="V586" s="82">
        <f t="shared" si="43"/>
        <v>0</v>
      </c>
      <c r="W586" s="13" t="str">
        <f t="shared" si="44"/>
        <v>P</v>
      </c>
      <c r="X586" s="36"/>
    </row>
    <row r="587" spans="2:24" ht="20.100000000000001" customHeight="1" x14ac:dyDescent="0.25">
      <c r="B587" s="32">
        <v>577</v>
      </c>
      <c r="C587" s="11"/>
      <c r="D587" s="33"/>
      <c r="E587" s="34"/>
      <c r="F587" s="35"/>
      <c r="G587" s="76"/>
      <c r="H587" s="76"/>
      <c r="I587" s="77">
        <f t="shared" si="42"/>
        <v>0</v>
      </c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9"/>
      <c r="V587" s="82">
        <f t="shared" si="43"/>
        <v>0</v>
      </c>
      <c r="W587" s="13" t="str">
        <f t="shared" si="44"/>
        <v>P</v>
      </c>
      <c r="X587" s="36"/>
    </row>
    <row r="588" spans="2:24" ht="20.100000000000001" customHeight="1" x14ac:dyDescent="0.25">
      <c r="B588" s="32">
        <v>578</v>
      </c>
      <c r="C588" s="11"/>
      <c r="D588" s="33"/>
      <c r="E588" s="34"/>
      <c r="F588" s="35"/>
      <c r="G588" s="76"/>
      <c r="H588" s="76"/>
      <c r="I588" s="77">
        <f t="shared" si="42"/>
        <v>0</v>
      </c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9"/>
      <c r="V588" s="82">
        <f t="shared" si="43"/>
        <v>0</v>
      </c>
      <c r="W588" s="13" t="str">
        <f t="shared" si="44"/>
        <v>P</v>
      </c>
      <c r="X588" s="36"/>
    </row>
    <row r="589" spans="2:24" ht="20.100000000000001" customHeight="1" x14ac:dyDescent="0.25">
      <c r="B589" s="32">
        <v>579</v>
      </c>
      <c r="C589" s="11"/>
      <c r="D589" s="33"/>
      <c r="E589" s="34"/>
      <c r="F589" s="35"/>
      <c r="G589" s="76"/>
      <c r="H589" s="76"/>
      <c r="I589" s="77">
        <f t="shared" si="42"/>
        <v>0</v>
      </c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9"/>
      <c r="V589" s="82">
        <f t="shared" si="43"/>
        <v>0</v>
      </c>
      <c r="W589" s="13" t="str">
        <f t="shared" si="44"/>
        <v>P</v>
      </c>
      <c r="X589" s="36"/>
    </row>
    <row r="590" spans="2:24" ht="20.100000000000001" customHeight="1" x14ac:dyDescent="0.25">
      <c r="B590" s="32">
        <v>580</v>
      </c>
      <c r="C590" s="11"/>
      <c r="D590" s="33"/>
      <c r="E590" s="34"/>
      <c r="F590" s="35"/>
      <c r="G590" s="76"/>
      <c r="H590" s="76"/>
      <c r="I590" s="77">
        <f t="shared" si="42"/>
        <v>0</v>
      </c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9"/>
      <c r="V590" s="82">
        <f t="shared" si="43"/>
        <v>0</v>
      </c>
      <c r="W590" s="13" t="str">
        <f t="shared" si="44"/>
        <v>P</v>
      </c>
      <c r="X590" s="36"/>
    </row>
    <row r="591" spans="2:24" ht="20.100000000000001" customHeight="1" x14ac:dyDescent="0.25">
      <c r="B591" s="32">
        <v>581</v>
      </c>
      <c r="C591" s="11"/>
      <c r="D591" s="33"/>
      <c r="E591" s="34"/>
      <c r="F591" s="35"/>
      <c r="G591" s="76"/>
      <c r="H591" s="76"/>
      <c r="I591" s="77">
        <f t="shared" si="42"/>
        <v>0</v>
      </c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9"/>
      <c r="V591" s="82">
        <f t="shared" si="43"/>
        <v>0</v>
      </c>
      <c r="W591" s="13" t="str">
        <f t="shared" si="44"/>
        <v>P</v>
      </c>
      <c r="X591" s="36"/>
    </row>
    <row r="592" spans="2:24" ht="20.100000000000001" customHeight="1" x14ac:dyDescent="0.25">
      <c r="B592" s="32">
        <v>582</v>
      </c>
      <c r="C592" s="11"/>
      <c r="D592" s="33"/>
      <c r="E592" s="34"/>
      <c r="F592" s="35"/>
      <c r="G592" s="76"/>
      <c r="H592" s="76"/>
      <c r="I592" s="77">
        <f t="shared" si="42"/>
        <v>0</v>
      </c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9"/>
      <c r="V592" s="82">
        <f t="shared" si="43"/>
        <v>0</v>
      </c>
      <c r="W592" s="13" t="str">
        <f t="shared" si="44"/>
        <v>P</v>
      </c>
      <c r="X592" s="36"/>
    </row>
    <row r="593" spans="2:24" ht="20.100000000000001" customHeight="1" x14ac:dyDescent="0.25">
      <c r="B593" s="32">
        <v>583</v>
      </c>
      <c r="C593" s="11"/>
      <c r="D593" s="33"/>
      <c r="E593" s="34"/>
      <c r="F593" s="35"/>
      <c r="G593" s="76"/>
      <c r="H593" s="76"/>
      <c r="I593" s="77">
        <f t="shared" si="42"/>
        <v>0</v>
      </c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9"/>
      <c r="V593" s="82">
        <f t="shared" si="43"/>
        <v>0</v>
      </c>
      <c r="W593" s="13" t="str">
        <f t="shared" si="44"/>
        <v>P</v>
      </c>
      <c r="X593" s="36"/>
    </row>
    <row r="594" spans="2:24" ht="20.100000000000001" customHeight="1" x14ac:dyDescent="0.25">
      <c r="B594" s="32">
        <v>584</v>
      </c>
      <c r="C594" s="11"/>
      <c r="D594" s="33"/>
      <c r="E594" s="34"/>
      <c r="F594" s="35"/>
      <c r="G594" s="76"/>
      <c r="H594" s="76"/>
      <c r="I594" s="77">
        <f t="shared" si="42"/>
        <v>0</v>
      </c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9"/>
      <c r="V594" s="82">
        <f t="shared" si="43"/>
        <v>0</v>
      </c>
      <c r="W594" s="13" t="str">
        <f t="shared" si="44"/>
        <v>P</v>
      </c>
      <c r="X594" s="36"/>
    </row>
    <row r="595" spans="2:24" ht="20.100000000000001" customHeight="1" x14ac:dyDescent="0.25">
      <c r="B595" s="32">
        <v>585</v>
      </c>
      <c r="C595" s="11"/>
      <c r="D595" s="33"/>
      <c r="E595" s="34"/>
      <c r="F595" s="35"/>
      <c r="G595" s="76"/>
      <c r="H595" s="76"/>
      <c r="I595" s="77">
        <f t="shared" si="42"/>
        <v>0</v>
      </c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9"/>
      <c r="V595" s="82">
        <f t="shared" si="43"/>
        <v>0</v>
      </c>
      <c r="W595" s="13" t="str">
        <f t="shared" si="44"/>
        <v>P</v>
      </c>
      <c r="X595" s="36"/>
    </row>
    <row r="596" spans="2:24" ht="20.100000000000001" customHeight="1" x14ac:dyDescent="0.25">
      <c r="B596" s="32">
        <v>586</v>
      </c>
      <c r="C596" s="11"/>
      <c r="D596" s="33"/>
      <c r="E596" s="34"/>
      <c r="F596" s="35"/>
      <c r="G596" s="76"/>
      <c r="H596" s="76"/>
      <c r="I596" s="77">
        <f t="shared" si="42"/>
        <v>0</v>
      </c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9"/>
      <c r="V596" s="82">
        <f t="shared" si="43"/>
        <v>0</v>
      </c>
      <c r="W596" s="13" t="str">
        <f t="shared" si="44"/>
        <v>P</v>
      </c>
      <c r="X596" s="36"/>
    </row>
    <row r="597" spans="2:24" ht="20.100000000000001" customHeight="1" x14ac:dyDescent="0.25">
      <c r="B597" s="32">
        <v>587</v>
      </c>
      <c r="C597" s="11"/>
      <c r="D597" s="33"/>
      <c r="E597" s="34"/>
      <c r="F597" s="35"/>
      <c r="G597" s="76"/>
      <c r="H597" s="76"/>
      <c r="I597" s="77">
        <f t="shared" si="42"/>
        <v>0</v>
      </c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9"/>
      <c r="V597" s="82">
        <f t="shared" si="43"/>
        <v>0</v>
      </c>
      <c r="W597" s="13" t="str">
        <f t="shared" si="44"/>
        <v>P</v>
      </c>
      <c r="X597" s="36"/>
    </row>
    <row r="598" spans="2:24" ht="20.100000000000001" customHeight="1" x14ac:dyDescent="0.25">
      <c r="B598" s="32">
        <v>588</v>
      </c>
      <c r="C598" s="11"/>
      <c r="D598" s="33"/>
      <c r="E598" s="34"/>
      <c r="F598" s="35"/>
      <c r="G598" s="76"/>
      <c r="H598" s="76"/>
      <c r="I598" s="77">
        <f t="shared" si="42"/>
        <v>0</v>
      </c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9"/>
      <c r="V598" s="82">
        <f t="shared" si="43"/>
        <v>0</v>
      </c>
      <c r="W598" s="13" t="str">
        <f t="shared" si="44"/>
        <v>P</v>
      </c>
      <c r="X598" s="36"/>
    </row>
    <row r="599" spans="2:24" ht="20.100000000000001" customHeight="1" x14ac:dyDescent="0.25">
      <c r="B599" s="32">
        <v>589</v>
      </c>
      <c r="C599" s="11"/>
      <c r="D599" s="33"/>
      <c r="E599" s="34"/>
      <c r="F599" s="35"/>
      <c r="G599" s="76"/>
      <c r="H599" s="76"/>
      <c r="I599" s="77">
        <f t="shared" si="42"/>
        <v>0</v>
      </c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9"/>
      <c r="V599" s="82">
        <f t="shared" si="43"/>
        <v>0</v>
      </c>
      <c r="W599" s="13" t="str">
        <f t="shared" si="44"/>
        <v>P</v>
      </c>
      <c r="X599" s="36"/>
    </row>
    <row r="600" spans="2:24" ht="20.100000000000001" customHeight="1" x14ac:dyDescent="0.25">
      <c r="B600" s="32">
        <v>590</v>
      </c>
      <c r="C600" s="11"/>
      <c r="D600" s="33"/>
      <c r="E600" s="34"/>
      <c r="F600" s="35"/>
      <c r="G600" s="76"/>
      <c r="H600" s="76"/>
      <c r="I600" s="77">
        <f t="shared" si="42"/>
        <v>0</v>
      </c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9"/>
      <c r="V600" s="82">
        <f t="shared" si="43"/>
        <v>0</v>
      </c>
      <c r="W600" s="13" t="str">
        <f t="shared" si="44"/>
        <v>P</v>
      </c>
      <c r="X600" s="36"/>
    </row>
    <row r="601" spans="2:24" ht="20.100000000000001" customHeight="1" x14ac:dyDescent="0.25">
      <c r="B601" s="32">
        <v>591</v>
      </c>
      <c r="C601" s="11"/>
      <c r="D601" s="33"/>
      <c r="E601" s="34"/>
      <c r="F601" s="35"/>
      <c r="G601" s="76"/>
      <c r="H601" s="76"/>
      <c r="I601" s="77">
        <f t="shared" si="42"/>
        <v>0</v>
      </c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9"/>
      <c r="V601" s="82">
        <f t="shared" si="43"/>
        <v>0</v>
      </c>
      <c r="W601" s="13" t="str">
        <f t="shared" si="44"/>
        <v>P</v>
      </c>
      <c r="X601" s="36"/>
    </row>
    <row r="602" spans="2:24" ht="20.100000000000001" customHeight="1" x14ac:dyDescent="0.25">
      <c r="B602" s="32">
        <v>592</v>
      </c>
      <c r="C602" s="11"/>
      <c r="D602" s="33"/>
      <c r="E602" s="34"/>
      <c r="F602" s="35"/>
      <c r="G602" s="76"/>
      <c r="H602" s="76"/>
      <c r="I602" s="77">
        <f t="shared" si="42"/>
        <v>0</v>
      </c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9"/>
      <c r="V602" s="82">
        <f t="shared" si="43"/>
        <v>0</v>
      </c>
      <c r="W602" s="13" t="str">
        <f t="shared" si="44"/>
        <v>P</v>
      </c>
      <c r="X602" s="36"/>
    </row>
    <row r="603" spans="2:24" ht="20.100000000000001" customHeight="1" x14ac:dyDescent="0.25">
      <c r="B603" s="32">
        <v>593</v>
      </c>
      <c r="C603" s="11"/>
      <c r="D603" s="33"/>
      <c r="E603" s="34"/>
      <c r="F603" s="35"/>
      <c r="G603" s="76"/>
      <c r="H603" s="76"/>
      <c r="I603" s="77">
        <f t="shared" si="42"/>
        <v>0</v>
      </c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9"/>
      <c r="V603" s="82">
        <f t="shared" si="43"/>
        <v>0</v>
      </c>
      <c r="W603" s="13" t="str">
        <f t="shared" si="44"/>
        <v>P</v>
      </c>
      <c r="X603" s="36"/>
    </row>
    <row r="604" spans="2:24" ht="20.100000000000001" customHeight="1" x14ac:dyDescent="0.25">
      <c r="B604" s="32">
        <v>594</v>
      </c>
      <c r="C604" s="11"/>
      <c r="D604" s="33"/>
      <c r="E604" s="34"/>
      <c r="F604" s="35"/>
      <c r="G604" s="76"/>
      <c r="H604" s="76"/>
      <c r="I604" s="77">
        <f t="shared" si="42"/>
        <v>0</v>
      </c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9"/>
      <c r="V604" s="82">
        <f t="shared" si="43"/>
        <v>0</v>
      </c>
      <c r="W604" s="13" t="str">
        <f t="shared" si="44"/>
        <v>P</v>
      </c>
      <c r="X604" s="36"/>
    </row>
    <row r="605" spans="2:24" ht="20.100000000000001" customHeight="1" x14ac:dyDescent="0.25">
      <c r="B605" s="32">
        <v>595</v>
      </c>
      <c r="C605" s="11"/>
      <c r="D605" s="33"/>
      <c r="E605" s="34"/>
      <c r="F605" s="35"/>
      <c r="G605" s="76"/>
      <c r="H605" s="76"/>
      <c r="I605" s="77">
        <f t="shared" si="42"/>
        <v>0</v>
      </c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9"/>
      <c r="V605" s="82">
        <f t="shared" si="43"/>
        <v>0</v>
      </c>
      <c r="W605" s="13" t="str">
        <f t="shared" si="44"/>
        <v>P</v>
      </c>
      <c r="X605" s="36"/>
    </row>
    <row r="606" spans="2:24" ht="20.100000000000001" customHeight="1" x14ac:dyDescent="0.25">
      <c r="B606" s="32">
        <v>596</v>
      </c>
      <c r="C606" s="11"/>
      <c r="D606" s="33"/>
      <c r="E606" s="34"/>
      <c r="F606" s="35"/>
      <c r="G606" s="76"/>
      <c r="H606" s="76"/>
      <c r="I606" s="77">
        <f t="shared" ref="I606:I610" si="45">G606*H606</f>
        <v>0</v>
      </c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9"/>
      <c r="V606" s="82">
        <f t="shared" si="43"/>
        <v>0</v>
      </c>
      <c r="W606" s="13" t="str">
        <f t="shared" si="44"/>
        <v>P</v>
      </c>
      <c r="X606" s="36"/>
    </row>
    <row r="607" spans="2:24" ht="20.100000000000001" customHeight="1" x14ac:dyDescent="0.25">
      <c r="B607" s="32">
        <v>597</v>
      </c>
      <c r="C607" s="11"/>
      <c r="D607" s="33"/>
      <c r="E607" s="34"/>
      <c r="F607" s="35"/>
      <c r="G607" s="76"/>
      <c r="H607" s="76"/>
      <c r="I607" s="77">
        <f t="shared" si="45"/>
        <v>0</v>
      </c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9"/>
      <c r="V607" s="82">
        <f t="shared" si="43"/>
        <v>0</v>
      </c>
      <c r="W607" s="13" t="str">
        <f t="shared" si="44"/>
        <v>P</v>
      </c>
      <c r="X607" s="36"/>
    </row>
    <row r="608" spans="2:24" ht="20.100000000000001" customHeight="1" x14ac:dyDescent="0.25">
      <c r="B608" s="32">
        <v>598</v>
      </c>
      <c r="C608" s="11"/>
      <c r="D608" s="33"/>
      <c r="E608" s="34"/>
      <c r="F608" s="35"/>
      <c r="G608" s="76"/>
      <c r="H608" s="76"/>
      <c r="I608" s="77">
        <f t="shared" si="45"/>
        <v>0</v>
      </c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9"/>
      <c r="V608" s="82">
        <f t="shared" si="43"/>
        <v>0</v>
      </c>
      <c r="W608" s="13" t="str">
        <f t="shared" si="44"/>
        <v>P</v>
      </c>
      <c r="X608" s="36"/>
    </row>
    <row r="609" spans="2:24" ht="20.100000000000001" customHeight="1" x14ac:dyDescent="0.25">
      <c r="B609" s="32">
        <v>599</v>
      </c>
      <c r="C609" s="11"/>
      <c r="D609" s="33"/>
      <c r="E609" s="34"/>
      <c r="F609" s="35"/>
      <c r="G609" s="76"/>
      <c r="H609" s="76"/>
      <c r="I609" s="77">
        <f t="shared" si="45"/>
        <v>0</v>
      </c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9"/>
      <c r="V609" s="82">
        <f t="shared" si="43"/>
        <v>0</v>
      </c>
      <c r="W609" s="13" t="str">
        <f t="shared" si="44"/>
        <v>P</v>
      </c>
      <c r="X609" s="36"/>
    </row>
    <row r="610" spans="2:24" ht="20.100000000000001" customHeight="1" x14ac:dyDescent="0.25">
      <c r="B610" s="32">
        <v>600</v>
      </c>
      <c r="C610" s="11"/>
      <c r="D610" s="33"/>
      <c r="E610" s="34"/>
      <c r="F610" s="35"/>
      <c r="G610" s="76"/>
      <c r="H610" s="76"/>
      <c r="I610" s="77">
        <f t="shared" si="45"/>
        <v>0</v>
      </c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9"/>
      <c r="V610" s="82">
        <f t="shared" ref="V610" si="46">SUM(J610:U610)</f>
        <v>0</v>
      </c>
      <c r="W610" s="13" t="str">
        <f t="shared" ref="W610" si="47">IF(I610=V610,"P","O")</f>
        <v>P</v>
      </c>
      <c r="X610" s="36"/>
    </row>
  </sheetData>
  <sheetProtection sheet="1" objects="1" scenarios="1"/>
  <dataConsolidate/>
  <mergeCells count="5">
    <mergeCell ref="B9:B10"/>
    <mergeCell ref="J9:U9"/>
    <mergeCell ref="C9:C10"/>
    <mergeCell ref="D2:X2"/>
    <mergeCell ref="D3:X3"/>
  </mergeCells>
  <conditionalFormatting sqref="A11:A143">
    <cfRule type="cellIs" dxfId="5" priority="1" operator="equal">
      <formula>"O"</formula>
    </cfRule>
    <cfRule type="cellIs" dxfId="4" priority="2" operator="equal">
      <formula>"P"</formula>
    </cfRule>
  </conditionalFormatting>
  <conditionalFormatting sqref="W11:W610">
    <cfRule type="cellIs" dxfId="3" priority="3" operator="equal">
      <formula>"O"</formula>
    </cfRule>
    <cfRule type="cellIs" dxfId="2" priority="4" operator="equal">
      <formula>"P"</formula>
    </cfRule>
  </conditionalFormatting>
  <conditionalFormatting sqref="Y11:Y143">
    <cfRule type="cellIs" dxfId="1" priority="23" operator="equal">
      <formula>"O"</formula>
    </cfRule>
    <cfRule type="cellIs" dxfId="0" priority="24" operator="equal">
      <formula>"P"</formula>
    </cfRule>
  </conditionalFormatting>
  <pageMargins left="0.7" right="0.7" top="0.75" bottom="0.75" header="0.3" footer="0.3"/>
  <pageSetup scale="5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BK130"/>
  <sheetViews>
    <sheetView workbookViewId="0">
      <selection activeCell="E14" sqref="E14"/>
    </sheetView>
  </sheetViews>
  <sheetFormatPr baseColWidth="10" defaultColWidth="11.42578125" defaultRowHeight="14.1" customHeight="1" x14ac:dyDescent="0.3"/>
  <cols>
    <col min="1" max="1" width="14.5703125" style="23" customWidth="1"/>
    <col min="2" max="2" width="0.140625" style="1" customWidth="1"/>
    <col min="3" max="3" width="72.85546875" style="1" customWidth="1"/>
    <col min="4" max="4" width="17.140625" style="1" customWidth="1"/>
    <col min="5" max="16384" width="11.42578125" style="2"/>
  </cols>
  <sheetData>
    <row r="1" spans="1:16287" ht="32.25" customHeight="1" thickBot="1" x14ac:dyDescent="0.3">
      <c r="A1" s="91" t="s">
        <v>203</v>
      </c>
      <c r="B1" s="92"/>
      <c r="C1" s="92"/>
      <c r="D1" s="92"/>
    </row>
    <row r="2" spans="1:16287" s="4" customFormat="1" ht="23.25" customHeight="1" thickBot="1" x14ac:dyDescent="0.3">
      <c r="A2" s="93" t="s">
        <v>201</v>
      </c>
      <c r="B2" s="94"/>
      <c r="C2" s="94"/>
      <c r="D2" s="9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</row>
    <row r="3" spans="1:16287" ht="26.25" customHeight="1" x14ac:dyDescent="0.25">
      <c r="A3" s="96" t="s">
        <v>208</v>
      </c>
      <c r="B3" s="97"/>
      <c r="C3" s="98"/>
      <c r="D3" s="37">
        <f>D4+D24+D61+D89+D107+D109+D118+D122</f>
        <v>0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15"/>
      <c r="KZ3" s="15"/>
      <c r="LA3" s="15"/>
      <c r="LB3" s="15"/>
      <c r="LC3" s="15"/>
      <c r="LD3" s="15"/>
      <c r="LE3" s="15"/>
      <c r="LF3" s="15"/>
      <c r="LG3" s="15"/>
      <c r="LH3" s="15"/>
      <c r="LI3" s="15"/>
      <c r="LJ3" s="15"/>
      <c r="LK3" s="15"/>
      <c r="LL3" s="15"/>
      <c r="LM3" s="15"/>
      <c r="LN3" s="15"/>
      <c r="LO3" s="15"/>
      <c r="LP3" s="15"/>
      <c r="LQ3" s="15"/>
      <c r="LR3" s="15"/>
      <c r="LS3" s="15"/>
      <c r="LT3" s="15"/>
      <c r="LU3" s="15"/>
      <c r="LV3" s="15"/>
      <c r="LW3" s="15"/>
      <c r="LX3" s="15"/>
      <c r="LY3" s="15"/>
      <c r="LZ3" s="15"/>
      <c r="MA3" s="15"/>
      <c r="MB3" s="15"/>
      <c r="MC3" s="15"/>
      <c r="MD3" s="15"/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  <c r="NL3" s="15"/>
      <c r="NM3" s="15"/>
      <c r="NN3" s="15"/>
      <c r="NO3" s="15"/>
      <c r="NP3" s="15"/>
      <c r="NQ3" s="15"/>
      <c r="NR3" s="15"/>
      <c r="NS3" s="15"/>
      <c r="NT3" s="15"/>
      <c r="NU3" s="15"/>
      <c r="NV3" s="15"/>
      <c r="NW3" s="15"/>
      <c r="NX3" s="15"/>
      <c r="NY3" s="15"/>
      <c r="NZ3" s="15"/>
      <c r="OA3" s="15"/>
      <c r="OB3" s="15"/>
      <c r="OC3" s="15"/>
      <c r="OD3" s="15"/>
      <c r="OE3" s="15"/>
      <c r="OF3" s="15"/>
      <c r="OG3" s="15"/>
      <c r="OH3" s="15"/>
      <c r="OI3" s="15"/>
      <c r="OJ3" s="15"/>
      <c r="OK3" s="15"/>
      <c r="OL3" s="15"/>
      <c r="OM3" s="15"/>
      <c r="ON3" s="15"/>
      <c r="OO3" s="15"/>
      <c r="OP3" s="15"/>
      <c r="OQ3" s="15"/>
      <c r="OR3" s="15"/>
      <c r="OS3" s="15"/>
      <c r="OT3" s="15"/>
      <c r="OU3" s="15"/>
      <c r="OV3" s="15"/>
      <c r="OW3" s="15"/>
      <c r="OX3" s="15"/>
      <c r="OY3" s="15"/>
      <c r="OZ3" s="15"/>
      <c r="PA3" s="15"/>
      <c r="PB3" s="15"/>
      <c r="PC3" s="15"/>
      <c r="PD3" s="15"/>
      <c r="PE3" s="15"/>
      <c r="PF3" s="15"/>
      <c r="PG3" s="15"/>
      <c r="PH3" s="15"/>
      <c r="PI3" s="15"/>
      <c r="PJ3" s="15"/>
      <c r="PK3" s="15"/>
      <c r="PL3" s="15"/>
      <c r="PM3" s="15"/>
      <c r="PN3" s="15"/>
      <c r="PO3" s="15"/>
      <c r="PP3" s="15"/>
      <c r="PQ3" s="15"/>
      <c r="PR3" s="15"/>
      <c r="PS3" s="15"/>
      <c r="PT3" s="15"/>
      <c r="PU3" s="15"/>
      <c r="PV3" s="15"/>
      <c r="PW3" s="15"/>
      <c r="PX3" s="15"/>
      <c r="PY3" s="15"/>
      <c r="PZ3" s="15"/>
      <c r="QA3" s="15"/>
      <c r="QB3" s="15"/>
      <c r="QC3" s="15"/>
      <c r="QD3" s="15"/>
      <c r="QE3" s="15"/>
      <c r="QF3" s="15"/>
      <c r="QG3" s="15"/>
      <c r="QH3" s="15"/>
      <c r="QI3" s="15"/>
      <c r="QJ3" s="15"/>
      <c r="QK3" s="15"/>
      <c r="QL3" s="15"/>
      <c r="QM3" s="15"/>
      <c r="QN3" s="15"/>
      <c r="QO3" s="15"/>
      <c r="QP3" s="15"/>
      <c r="QQ3" s="15"/>
      <c r="QR3" s="15"/>
      <c r="QS3" s="15"/>
      <c r="QT3" s="15"/>
      <c r="QU3" s="15"/>
      <c r="QV3" s="15"/>
      <c r="QW3" s="15"/>
      <c r="QX3" s="15"/>
      <c r="QY3" s="15"/>
      <c r="QZ3" s="15"/>
      <c r="RA3" s="15"/>
      <c r="RB3" s="15"/>
      <c r="RC3" s="15"/>
      <c r="RD3" s="15"/>
      <c r="RE3" s="15"/>
      <c r="RF3" s="15"/>
      <c r="RG3" s="15"/>
      <c r="RH3" s="15"/>
      <c r="RI3" s="15"/>
      <c r="RJ3" s="15"/>
      <c r="RK3" s="15"/>
      <c r="RL3" s="15"/>
      <c r="RM3" s="15"/>
      <c r="RN3" s="15"/>
      <c r="RO3" s="15"/>
      <c r="RP3" s="15"/>
      <c r="RQ3" s="15"/>
      <c r="RR3" s="15"/>
      <c r="RS3" s="15"/>
      <c r="RT3" s="15"/>
      <c r="RU3" s="15"/>
      <c r="RV3" s="15"/>
      <c r="RW3" s="15"/>
      <c r="RX3" s="15"/>
      <c r="RY3" s="15"/>
      <c r="RZ3" s="15"/>
      <c r="SA3" s="15"/>
      <c r="SB3" s="15"/>
      <c r="SC3" s="15"/>
      <c r="SD3" s="15"/>
      <c r="SE3" s="15"/>
      <c r="SF3" s="15"/>
      <c r="SG3" s="15"/>
      <c r="SH3" s="15"/>
      <c r="SI3" s="15"/>
      <c r="SJ3" s="15"/>
      <c r="SK3" s="15"/>
      <c r="SL3" s="15"/>
      <c r="SM3" s="15"/>
      <c r="SN3" s="15"/>
      <c r="SO3" s="15"/>
      <c r="SP3" s="15"/>
      <c r="SQ3" s="15"/>
      <c r="SR3" s="15"/>
      <c r="SS3" s="15"/>
      <c r="ST3" s="15"/>
      <c r="SU3" s="15"/>
      <c r="SV3" s="15"/>
      <c r="SW3" s="15"/>
      <c r="SX3" s="15"/>
      <c r="SY3" s="15"/>
      <c r="SZ3" s="15"/>
      <c r="TA3" s="15"/>
      <c r="TB3" s="15"/>
      <c r="TC3" s="15"/>
      <c r="TD3" s="15"/>
      <c r="TE3" s="15"/>
      <c r="TF3" s="15"/>
      <c r="TG3" s="15"/>
      <c r="TH3" s="15"/>
      <c r="TI3" s="15"/>
      <c r="TJ3" s="15"/>
      <c r="TK3" s="15"/>
      <c r="TL3" s="15"/>
      <c r="TM3" s="15"/>
      <c r="TN3" s="15"/>
      <c r="TO3" s="15"/>
      <c r="TP3" s="15"/>
      <c r="TQ3" s="15"/>
      <c r="TR3" s="15"/>
      <c r="TS3" s="15"/>
      <c r="TT3" s="15"/>
      <c r="TU3" s="15"/>
      <c r="TV3" s="15"/>
      <c r="TW3" s="15"/>
      <c r="TX3" s="15"/>
      <c r="TY3" s="15"/>
      <c r="TZ3" s="15"/>
      <c r="UA3" s="15"/>
      <c r="UB3" s="15"/>
      <c r="UC3" s="15"/>
      <c r="UD3" s="15"/>
      <c r="UE3" s="15"/>
      <c r="UF3" s="15"/>
      <c r="UG3" s="15"/>
      <c r="UH3" s="15"/>
      <c r="UI3" s="15"/>
      <c r="UJ3" s="15"/>
      <c r="UK3" s="15"/>
      <c r="UL3" s="15"/>
      <c r="UM3" s="15"/>
      <c r="UN3" s="15"/>
      <c r="UO3" s="15"/>
      <c r="UP3" s="15"/>
      <c r="UQ3" s="15"/>
      <c r="UR3" s="15"/>
      <c r="US3" s="15"/>
      <c r="UT3" s="15"/>
      <c r="UU3" s="15"/>
      <c r="UV3" s="15"/>
      <c r="UW3" s="15"/>
      <c r="UX3" s="15"/>
      <c r="UY3" s="15"/>
      <c r="UZ3" s="15"/>
      <c r="VA3" s="15"/>
      <c r="VB3" s="15"/>
      <c r="VC3" s="15"/>
      <c r="VD3" s="15"/>
      <c r="VE3" s="15"/>
      <c r="VF3" s="15"/>
      <c r="VG3" s="15"/>
      <c r="VH3" s="15"/>
      <c r="VI3" s="15"/>
      <c r="VJ3" s="15"/>
      <c r="VK3" s="15"/>
      <c r="VL3" s="15"/>
      <c r="VM3" s="15"/>
      <c r="VN3" s="15"/>
      <c r="VO3" s="15"/>
      <c r="VP3" s="15"/>
      <c r="VQ3" s="15"/>
      <c r="VR3" s="15"/>
      <c r="VS3" s="15"/>
      <c r="VT3" s="15"/>
      <c r="VU3" s="15"/>
      <c r="VV3" s="15"/>
      <c r="VW3" s="15"/>
      <c r="VX3" s="15"/>
      <c r="VY3" s="15"/>
      <c r="VZ3" s="15"/>
      <c r="WA3" s="15"/>
      <c r="WB3" s="15"/>
      <c r="WC3" s="15"/>
      <c r="WD3" s="15"/>
      <c r="WE3" s="15"/>
      <c r="WF3" s="15"/>
      <c r="WG3" s="15"/>
      <c r="WH3" s="15"/>
      <c r="WI3" s="15"/>
      <c r="WJ3" s="15"/>
      <c r="WK3" s="15"/>
      <c r="WL3" s="15"/>
      <c r="WM3" s="15"/>
      <c r="WN3" s="15"/>
      <c r="WO3" s="15"/>
      <c r="WP3" s="15"/>
      <c r="WQ3" s="15"/>
      <c r="WR3" s="15"/>
      <c r="WS3" s="15"/>
      <c r="WT3" s="15"/>
      <c r="WU3" s="15"/>
      <c r="WV3" s="15"/>
      <c r="WW3" s="15"/>
      <c r="WX3" s="15"/>
      <c r="WY3" s="15"/>
      <c r="WZ3" s="15"/>
      <c r="XA3" s="15"/>
      <c r="XB3" s="15"/>
      <c r="XC3" s="15"/>
      <c r="XD3" s="15"/>
      <c r="XE3" s="15"/>
      <c r="XF3" s="15"/>
      <c r="XG3" s="15"/>
      <c r="XH3" s="15"/>
      <c r="XI3" s="15"/>
      <c r="XJ3" s="15"/>
      <c r="XK3" s="15"/>
      <c r="XL3" s="15"/>
      <c r="XM3" s="15"/>
      <c r="XN3" s="15"/>
      <c r="XO3" s="15"/>
      <c r="XP3" s="15"/>
      <c r="XQ3" s="15"/>
      <c r="XR3" s="15"/>
      <c r="XS3" s="15"/>
      <c r="XT3" s="15"/>
      <c r="XU3" s="15"/>
      <c r="XV3" s="15"/>
      <c r="XW3" s="15"/>
      <c r="XX3" s="15"/>
      <c r="XY3" s="15"/>
      <c r="XZ3" s="15"/>
      <c r="YA3" s="15"/>
      <c r="YB3" s="15"/>
      <c r="YC3" s="15"/>
      <c r="YD3" s="15"/>
      <c r="YE3" s="15"/>
      <c r="YF3" s="15"/>
      <c r="YG3" s="15"/>
      <c r="YH3" s="15"/>
      <c r="YI3" s="15"/>
      <c r="YJ3" s="15"/>
      <c r="YK3" s="15"/>
      <c r="YL3" s="15"/>
      <c r="YM3" s="15"/>
      <c r="YN3" s="15"/>
      <c r="YO3" s="15"/>
      <c r="YP3" s="15"/>
      <c r="YQ3" s="15"/>
      <c r="YR3" s="15"/>
      <c r="YS3" s="15"/>
      <c r="YT3" s="15"/>
      <c r="YU3" s="15"/>
      <c r="YV3" s="15"/>
      <c r="YW3" s="15"/>
      <c r="YX3" s="15"/>
      <c r="YY3" s="15"/>
      <c r="YZ3" s="15"/>
      <c r="ZA3" s="15"/>
      <c r="ZB3" s="15"/>
      <c r="ZC3" s="15"/>
      <c r="ZD3" s="15"/>
      <c r="ZE3" s="15"/>
      <c r="ZF3" s="15"/>
      <c r="ZG3" s="15"/>
      <c r="ZH3" s="15"/>
      <c r="ZI3" s="15"/>
      <c r="ZJ3" s="15"/>
      <c r="ZK3" s="15"/>
      <c r="ZL3" s="15"/>
      <c r="ZM3" s="15"/>
      <c r="ZN3" s="15"/>
      <c r="ZO3" s="15"/>
      <c r="ZP3" s="15"/>
      <c r="ZQ3" s="15"/>
      <c r="ZR3" s="15"/>
      <c r="ZS3" s="15"/>
      <c r="ZT3" s="15"/>
      <c r="ZU3" s="15"/>
      <c r="ZV3" s="15"/>
      <c r="ZW3" s="15"/>
      <c r="ZX3" s="15"/>
      <c r="ZY3" s="15"/>
      <c r="ZZ3" s="15"/>
      <c r="AAA3" s="15"/>
      <c r="AAB3" s="15"/>
      <c r="AAC3" s="15"/>
      <c r="AAD3" s="15"/>
      <c r="AAE3" s="15"/>
      <c r="AAF3" s="15"/>
      <c r="AAG3" s="15"/>
      <c r="AAH3" s="15"/>
      <c r="AAI3" s="15"/>
      <c r="AAJ3" s="15"/>
      <c r="AAK3" s="15"/>
      <c r="AAL3" s="15"/>
      <c r="AAM3" s="15"/>
      <c r="AAN3" s="15"/>
      <c r="AAO3" s="15"/>
      <c r="AAP3" s="15"/>
      <c r="AAQ3" s="15"/>
      <c r="AAR3" s="15"/>
      <c r="AAS3" s="15"/>
      <c r="AAT3" s="15"/>
      <c r="AAU3" s="15"/>
      <c r="AAV3" s="15"/>
      <c r="AAW3" s="15"/>
      <c r="AAX3" s="15"/>
      <c r="AAY3" s="15"/>
      <c r="AAZ3" s="15"/>
      <c r="ABA3" s="15"/>
      <c r="ABB3" s="15"/>
      <c r="ABC3" s="15"/>
      <c r="ABD3" s="15"/>
      <c r="ABE3" s="15"/>
      <c r="ABF3" s="15"/>
      <c r="ABG3" s="15"/>
      <c r="ABH3" s="15"/>
      <c r="ABI3" s="15"/>
      <c r="ABJ3" s="15"/>
      <c r="ABK3" s="15"/>
      <c r="ABL3" s="15"/>
      <c r="ABM3" s="15"/>
      <c r="ABN3" s="15"/>
      <c r="ABO3" s="15"/>
      <c r="ABP3" s="15"/>
      <c r="ABQ3" s="15"/>
      <c r="ABR3" s="15"/>
      <c r="ABS3" s="15"/>
      <c r="ABT3" s="15"/>
      <c r="ABU3" s="15"/>
      <c r="ABV3" s="15"/>
      <c r="ABW3" s="15"/>
      <c r="ABX3" s="15"/>
      <c r="ABY3" s="15"/>
      <c r="ABZ3" s="15"/>
      <c r="ACA3" s="15"/>
      <c r="ACB3" s="15"/>
      <c r="ACC3" s="15"/>
      <c r="ACD3" s="15"/>
      <c r="ACE3" s="15"/>
      <c r="ACF3" s="15"/>
      <c r="ACG3" s="15"/>
      <c r="ACH3" s="15"/>
      <c r="ACI3" s="15"/>
      <c r="ACJ3" s="15"/>
      <c r="ACK3" s="15"/>
      <c r="ACL3" s="15"/>
      <c r="ACM3" s="15"/>
      <c r="ACN3" s="15"/>
      <c r="ACO3" s="15"/>
      <c r="ACP3" s="15"/>
      <c r="ACQ3" s="15"/>
      <c r="ACR3" s="15"/>
      <c r="ACS3" s="15"/>
      <c r="ACT3" s="15"/>
      <c r="ACU3" s="15"/>
      <c r="ACV3" s="15"/>
      <c r="ACW3" s="15"/>
      <c r="ACX3" s="15"/>
      <c r="ACY3" s="15"/>
      <c r="ACZ3" s="15"/>
      <c r="ADA3" s="15"/>
      <c r="ADB3" s="15"/>
      <c r="ADC3" s="15"/>
      <c r="ADD3" s="15"/>
      <c r="ADE3" s="15"/>
      <c r="ADF3" s="15"/>
      <c r="ADG3" s="15"/>
      <c r="ADH3" s="15"/>
      <c r="ADI3" s="15"/>
      <c r="ADJ3" s="15"/>
      <c r="ADK3" s="15"/>
      <c r="ADL3" s="15"/>
      <c r="ADM3" s="15"/>
      <c r="ADN3" s="15"/>
      <c r="ADO3" s="15"/>
      <c r="ADP3" s="15"/>
      <c r="ADQ3" s="15"/>
      <c r="ADR3" s="15"/>
      <c r="ADS3" s="15"/>
      <c r="ADT3" s="15"/>
      <c r="ADU3" s="15"/>
      <c r="ADV3" s="15"/>
      <c r="ADW3" s="15"/>
      <c r="ADX3" s="15"/>
      <c r="ADY3" s="15"/>
      <c r="ADZ3" s="15"/>
      <c r="AEA3" s="15"/>
      <c r="AEB3" s="15"/>
      <c r="AEC3" s="15"/>
      <c r="AED3" s="15"/>
      <c r="AEE3" s="15"/>
      <c r="AEF3" s="15"/>
      <c r="AEG3" s="15"/>
      <c r="AEH3" s="15"/>
      <c r="AEI3" s="15"/>
      <c r="AEJ3" s="15"/>
      <c r="AEK3" s="15"/>
      <c r="AEL3" s="15"/>
      <c r="AEM3" s="15"/>
      <c r="AEN3" s="15"/>
      <c r="AEO3" s="15"/>
      <c r="AEP3" s="15"/>
      <c r="AEQ3" s="15"/>
      <c r="AER3" s="15"/>
      <c r="AES3" s="15"/>
      <c r="AET3" s="15"/>
      <c r="AEU3" s="15"/>
      <c r="AEV3" s="15"/>
      <c r="AEW3" s="15"/>
      <c r="AEX3" s="15"/>
      <c r="AEY3" s="15"/>
      <c r="AEZ3" s="15"/>
      <c r="AFA3" s="15"/>
      <c r="AFB3" s="15"/>
      <c r="AFC3" s="15"/>
      <c r="AFD3" s="15"/>
      <c r="AFE3" s="15"/>
      <c r="AFF3" s="15"/>
      <c r="AFG3" s="15"/>
      <c r="AFH3" s="15"/>
      <c r="AFI3" s="15"/>
      <c r="AFJ3" s="15"/>
      <c r="AFK3" s="15"/>
      <c r="AFL3" s="15"/>
      <c r="AFM3" s="15"/>
      <c r="AFN3" s="15"/>
      <c r="AFO3" s="15"/>
      <c r="AFP3" s="15"/>
      <c r="AFQ3" s="15"/>
      <c r="AFR3" s="15"/>
      <c r="AFS3" s="15"/>
      <c r="AFT3" s="15"/>
      <c r="AFU3" s="15"/>
      <c r="AFV3" s="15"/>
      <c r="AFW3" s="15"/>
      <c r="AFX3" s="15"/>
      <c r="AFY3" s="15"/>
      <c r="AFZ3" s="15"/>
      <c r="AGA3" s="15"/>
      <c r="AGB3" s="15"/>
      <c r="AGC3" s="15"/>
      <c r="AGD3" s="15"/>
      <c r="AGE3" s="15"/>
      <c r="AGF3" s="15"/>
      <c r="AGG3" s="15"/>
      <c r="AGH3" s="15"/>
      <c r="AGI3" s="15"/>
      <c r="AGJ3" s="15"/>
      <c r="AGK3" s="15"/>
      <c r="AGL3" s="15"/>
      <c r="AGM3" s="15"/>
      <c r="AGN3" s="15"/>
      <c r="AGO3" s="15"/>
      <c r="AGP3" s="15"/>
      <c r="AGQ3" s="15"/>
      <c r="AGR3" s="15"/>
      <c r="AGS3" s="15"/>
      <c r="AGT3" s="15"/>
      <c r="AGU3" s="15"/>
      <c r="AGV3" s="15"/>
      <c r="AGW3" s="15"/>
      <c r="AGX3" s="15"/>
      <c r="AGY3" s="15"/>
      <c r="AGZ3" s="15"/>
      <c r="AHA3" s="15"/>
      <c r="AHB3" s="15"/>
      <c r="AHC3" s="15"/>
      <c r="AHD3" s="15"/>
      <c r="AHE3" s="15"/>
      <c r="AHF3" s="15"/>
      <c r="AHG3" s="15"/>
      <c r="AHH3" s="15"/>
      <c r="AHI3" s="15"/>
      <c r="AHJ3" s="15"/>
      <c r="AHK3" s="15"/>
      <c r="AHL3" s="15"/>
      <c r="AHM3" s="15"/>
      <c r="AHN3" s="15"/>
      <c r="AHO3" s="15"/>
      <c r="AHP3" s="15"/>
      <c r="AHQ3" s="15"/>
      <c r="AHR3" s="15"/>
      <c r="AHS3" s="15"/>
      <c r="AHT3" s="15"/>
      <c r="AHU3" s="15"/>
      <c r="AHV3" s="15"/>
      <c r="AHW3" s="15"/>
      <c r="AHX3" s="15"/>
      <c r="AHY3" s="15"/>
      <c r="AHZ3" s="15"/>
      <c r="AIA3" s="15"/>
      <c r="AIB3" s="15"/>
      <c r="AIC3" s="15"/>
      <c r="AID3" s="15"/>
      <c r="AIE3" s="15"/>
      <c r="AIF3" s="15"/>
      <c r="AIG3" s="15"/>
      <c r="AIH3" s="15"/>
      <c r="AII3" s="15"/>
      <c r="AIJ3" s="15"/>
      <c r="AIK3" s="15"/>
      <c r="AIL3" s="15"/>
      <c r="AIM3" s="15"/>
      <c r="AIN3" s="15"/>
      <c r="AIO3" s="15"/>
      <c r="AIP3" s="15"/>
      <c r="AIQ3" s="15"/>
      <c r="AIR3" s="15"/>
      <c r="AIS3" s="15"/>
      <c r="AIT3" s="15"/>
      <c r="AIU3" s="15"/>
      <c r="AIV3" s="15"/>
      <c r="AIW3" s="15"/>
      <c r="AIX3" s="15"/>
      <c r="AIY3" s="15"/>
      <c r="AIZ3" s="15"/>
      <c r="AJA3" s="15"/>
      <c r="AJB3" s="15"/>
      <c r="AJC3" s="15"/>
      <c r="AJD3" s="15"/>
      <c r="AJE3" s="15"/>
      <c r="AJF3" s="15"/>
      <c r="AJG3" s="15"/>
      <c r="AJH3" s="15"/>
      <c r="AJI3" s="15"/>
      <c r="AJJ3" s="15"/>
      <c r="AJK3" s="15"/>
      <c r="AJL3" s="15"/>
      <c r="AJM3" s="15"/>
      <c r="AJN3" s="15"/>
      <c r="AJO3" s="15"/>
      <c r="AJP3" s="15"/>
      <c r="AJQ3" s="15"/>
      <c r="AJR3" s="15"/>
      <c r="AJS3" s="15"/>
      <c r="AJT3" s="15"/>
      <c r="AJU3" s="15"/>
      <c r="AJV3" s="15"/>
      <c r="AJW3" s="15"/>
      <c r="AJX3" s="15"/>
      <c r="AJY3" s="15"/>
      <c r="AJZ3" s="15"/>
      <c r="AKA3" s="15"/>
      <c r="AKB3" s="15"/>
      <c r="AKC3" s="15"/>
      <c r="AKD3" s="15"/>
      <c r="AKE3" s="15"/>
      <c r="AKF3" s="15"/>
      <c r="AKG3" s="15"/>
      <c r="AKH3" s="15"/>
      <c r="AKI3" s="15"/>
      <c r="AKJ3" s="15"/>
      <c r="AKK3" s="15"/>
      <c r="AKL3" s="15"/>
      <c r="AKM3" s="15"/>
      <c r="AKN3" s="15"/>
      <c r="AKO3" s="15"/>
      <c r="AKP3" s="15"/>
      <c r="AKQ3" s="15"/>
      <c r="AKR3" s="15"/>
      <c r="AKS3" s="15"/>
      <c r="AKT3" s="15"/>
      <c r="AKU3" s="15"/>
      <c r="AKV3" s="15"/>
      <c r="AKW3" s="15"/>
      <c r="AKX3" s="15"/>
      <c r="AKY3" s="15"/>
      <c r="AKZ3" s="15"/>
      <c r="ALA3" s="15"/>
      <c r="ALB3" s="15"/>
      <c r="ALC3" s="15"/>
      <c r="ALD3" s="15"/>
      <c r="ALE3" s="15"/>
      <c r="ALF3" s="15"/>
      <c r="ALG3" s="15"/>
      <c r="ALH3" s="15"/>
      <c r="ALI3" s="15"/>
      <c r="ALJ3" s="15"/>
      <c r="ALK3" s="15"/>
      <c r="ALL3" s="15"/>
      <c r="ALM3" s="15"/>
      <c r="ALN3" s="15"/>
      <c r="ALO3" s="15"/>
      <c r="ALP3" s="15"/>
      <c r="ALQ3" s="15"/>
      <c r="ALR3" s="15"/>
      <c r="ALS3" s="15"/>
      <c r="ALT3" s="15"/>
      <c r="ALU3" s="15"/>
      <c r="ALV3" s="15"/>
      <c r="ALW3" s="15"/>
      <c r="ALX3" s="15"/>
      <c r="ALY3" s="15"/>
      <c r="ALZ3" s="15"/>
      <c r="AMA3" s="15"/>
      <c r="AMB3" s="15"/>
      <c r="AMC3" s="15"/>
      <c r="AMD3" s="15"/>
      <c r="AME3" s="15"/>
      <c r="AMF3" s="15"/>
      <c r="AMG3" s="15"/>
      <c r="AMH3" s="15"/>
      <c r="AMI3" s="15"/>
      <c r="AMJ3" s="15"/>
      <c r="AMK3" s="15"/>
      <c r="AML3" s="15"/>
      <c r="AMM3" s="15"/>
      <c r="AMN3" s="15"/>
      <c r="AMO3" s="15"/>
      <c r="AMP3" s="15"/>
      <c r="AMQ3" s="15"/>
      <c r="AMR3" s="15"/>
      <c r="AMS3" s="15"/>
      <c r="AMT3" s="15"/>
      <c r="AMU3" s="15"/>
      <c r="AMV3" s="15"/>
      <c r="AMW3" s="15"/>
      <c r="AMX3" s="15"/>
      <c r="AMY3" s="15"/>
      <c r="AMZ3" s="15"/>
      <c r="ANA3" s="15"/>
      <c r="ANB3" s="15"/>
      <c r="ANC3" s="15"/>
      <c r="AND3" s="15"/>
      <c r="ANE3" s="15"/>
      <c r="ANF3" s="15"/>
      <c r="ANG3" s="15"/>
      <c r="ANH3" s="15"/>
      <c r="ANI3" s="15"/>
      <c r="ANJ3" s="15"/>
      <c r="ANK3" s="15"/>
      <c r="ANL3" s="15"/>
      <c r="ANM3" s="15"/>
      <c r="ANN3" s="15"/>
      <c r="ANO3" s="15"/>
      <c r="ANP3" s="15"/>
      <c r="ANQ3" s="15"/>
      <c r="ANR3" s="15"/>
      <c r="ANS3" s="15"/>
      <c r="ANT3" s="15"/>
      <c r="ANU3" s="15"/>
      <c r="ANV3" s="15"/>
      <c r="ANW3" s="15"/>
      <c r="ANX3" s="15"/>
      <c r="ANY3" s="15"/>
      <c r="ANZ3" s="15"/>
      <c r="AOA3" s="15"/>
      <c r="AOB3" s="15"/>
      <c r="AOC3" s="15"/>
      <c r="AOD3" s="15"/>
      <c r="AOE3" s="15"/>
      <c r="AOF3" s="15"/>
      <c r="AOG3" s="15"/>
      <c r="AOH3" s="15"/>
      <c r="AOI3" s="15"/>
      <c r="AOJ3" s="15"/>
      <c r="AOK3" s="15"/>
      <c r="AOL3" s="15"/>
      <c r="AOM3" s="15"/>
      <c r="AON3" s="15"/>
      <c r="AOO3" s="15"/>
      <c r="AOP3" s="15"/>
      <c r="AOQ3" s="15"/>
      <c r="AOR3" s="15"/>
      <c r="AOS3" s="15"/>
      <c r="AOT3" s="15"/>
      <c r="AOU3" s="15"/>
      <c r="AOV3" s="15"/>
      <c r="AOW3" s="15"/>
      <c r="AOX3" s="15"/>
      <c r="AOY3" s="15"/>
      <c r="AOZ3" s="15"/>
      <c r="APA3" s="15"/>
      <c r="APB3" s="15"/>
      <c r="APC3" s="15"/>
      <c r="APD3" s="15"/>
      <c r="APE3" s="15"/>
      <c r="APF3" s="15"/>
      <c r="APG3" s="15"/>
      <c r="APH3" s="15"/>
      <c r="API3" s="15"/>
      <c r="APJ3" s="15"/>
      <c r="APK3" s="15"/>
      <c r="APL3" s="15"/>
      <c r="APM3" s="15"/>
      <c r="APN3" s="15"/>
      <c r="APO3" s="15"/>
      <c r="APP3" s="15"/>
      <c r="APQ3" s="15"/>
      <c r="APR3" s="15"/>
      <c r="APS3" s="15"/>
      <c r="APT3" s="15"/>
      <c r="APU3" s="15"/>
      <c r="APV3" s="15"/>
      <c r="APW3" s="15"/>
      <c r="APX3" s="15"/>
      <c r="APY3" s="15"/>
      <c r="APZ3" s="15"/>
      <c r="AQA3" s="15"/>
      <c r="AQB3" s="15"/>
      <c r="AQC3" s="15"/>
      <c r="AQD3" s="15"/>
      <c r="AQE3" s="15"/>
      <c r="AQF3" s="15"/>
      <c r="AQG3" s="15"/>
      <c r="AQH3" s="15"/>
      <c r="AQI3" s="15"/>
      <c r="AQJ3" s="15"/>
      <c r="AQK3" s="15"/>
      <c r="AQL3" s="15"/>
      <c r="AQM3" s="15"/>
      <c r="AQN3" s="15"/>
      <c r="AQO3" s="15"/>
      <c r="AQP3" s="15"/>
      <c r="AQQ3" s="15"/>
      <c r="AQR3" s="15"/>
      <c r="AQS3" s="15"/>
      <c r="AQT3" s="15"/>
      <c r="AQU3" s="15"/>
      <c r="AQV3" s="15"/>
      <c r="AQW3" s="15"/>
      <c r="AQX3" s="15"/>
      <c r="AQY3" s="15"/>
      <c r="AQZ3" s="15"/>
      <c r="ARA3" s="15"/>
      <c r="ARB3" s="15"/>
      <c r="ARC3" s="15"/>
      <c r="ARD3" s="15"/>
      <c r="ARE3" s="15"/>
      <c r="ARF3" s="15"/>
      <c r="ARG3" s="15"/>
      <c r="ARH3" s="15"/>
      <c r="ARI3" s="15"/>
      <c r="ARJ3" s="15"/>
      <c r="ARK3" s="15"/>
      <c r="ARL3" s="15"/>
      <c r="ARM3" s="15"/>
      <c r="ARN3" s="15"/>
      <c r="ARO3" s="15"/>
      <c r="ARP3" s="15"/>
      <c r="ARQ3" s="15"/>
      <c r="ARR3" s="15"/>
      <c r="ARS3" s="15"/>
      <c r="ART3" s="15"/>
      <c r="ARU3" s="15"/>
      <c r="ARV3" s="15"/>
      <c r="ARW3" s="15"/>
      <c r="ARX3" s="15"/>
      <c r="ARY3" s="15"/>
      <c r="ARZ3" s="15"/>
      <c r="ASA3" s="15"/>
      <c r="ASB3" s="15"/>
      <c r="ASC3" s="15"/>
      <c r="ASD3" s="15"/>
      <c r="ASE3" s="15"/>
      <c r="ASF3" s="15"/>
      <c r="ASG3" s="15"/>
      <c r="ASH3" s="15"/>
      <c r="ASI3" s="15"/>
      <c r="ASJ3" s="15"/>
      <c r="ASK3" s="15"/>
      <c r="ASL3" s="15"/>
      <c r="ASM3" s="15"/>
      <c r="ASN3" s="15"/>
      <c r="ASO3" s="15"/>
      <c r="ASP3" s="15"/>
      <c r="ASQ3" s="15"/>
      <c r="ASR3" s="15"/>
      <c r="ASS3" s="15"/>
      <c r="AST3" s="15"/>
      <c r="ASU3" s="15"/>
      <c r="ASV3" s="15"/>
      <c r="ASW3" s="15"/>
      <c r="ASX3" s="15"/>
      <c r="ASY3" s="15"/>
      <c r="ASZ3" s="15"/>
      <c r="ATA3" s="15"/>
      <c r="ATB3" s="15"/>
      <c r="ATC3" s="15"/>
      <c r="ATD3" s="15"/>
      <c r="ATE3" s="15"/>
      <c r="ATF3" s="15"/>
      <c r="ATG3" s="15"/>
      <c r="ATH3" s="15"/>
      <c r="ATI3" s="15"/>
      <c r="ATJ3" s="15"/>
      <c r="ATK3" s="15"/>
      <c r="ATL3" s="15"/>
      <c r="ATM3" s="15"/>
      <c r="ATN3" s="15"/>
      <c r="ATO3" s="15"/>
      <c r="ATP3" s="15"/>
      <c r="ATQ3" s="15"/>
      <c r="ATR3" s="15"/>
      <c r="ATS3" s="15"/>
      <c r="ATT3" s="15"/>
      <c r="ATU3" s="15"/>
      <c r="ATV3" s="15"/>
      <c r="ATW3" s="15"/>
      <c r="ATX3" s="15"/>
      <c r="ATY3" s="15"/>
      <c r="ATZ3" s="15"/>
      <c r="AUA3" s="15"/>
      <c r="AUB3" s="15"/>
      <c r="AUC3" s="15"/>
      <c r="AUD3" s="15"/>
      <c r="AUE3" s="15"/>
      <c r="AUF3" s="15"/>
      <c r="AUG3" s="15"/>
      <c r="AUH3" s="15"/>
      <c r="AUI3" s="15"/>
      <c r="AUJ3" s="15"/>
      <c r="AUK3" s="15"/>
      <c r="AUL3" s="15"/>
      <c r="AUM3" s="15"/>
      <c r="AUN3" s="15"/>
      <c r="AUO3" s="15"/>
      <c r="AUP3" s="15"/>
      <c r="AUQ3" s="15"/>
      <c r="AUR3" s="15"/>
      <c r="AUS3" s="15"/>
      <c r="AUT3" s="15"/>
      <c r="AUU3" s="15"/>
      <c r="AUV3" s="15"/>
      <c r="AUW3" s="15"/>
      <c r="AUX3" s="15"/>
      <c r="AUY3" s="15"/>
      <c r="AUZ3" s="15"/>
      <c r="AVA3" s="15"/>
      <c r="AVB3" s="15"/>
      <c r="AVC3" s="15"/>
      <c r="AVD3" s="15"/>
      <c r="AVE3" s="15"/>
      <c r="AVF3" s="15"/>
      <c r="AVG3" s="15"/>
      <c r="AVH3" s="15"/>
      <c r="AVI3" s="15"/>
      <c r="AVJ3" s="15"/>
      <c r="AVK3" s="15"/>
      <c r="AVL3" s="15"/>
      <c r="AVM3" s="15"/>
      <c r="AVN3" s="15"/>
      <c r="AVO3" s="15"/>
      <c r="AVP3" s="15"/>
      <c r="AVQ3" s="15"/>
      <c r="AVR3" s="15"/>
      <c r="AVS3" s="15"/>
      <c r="AVT3" s="15"/>
      <c r="AVU3" s="15"/>
      <c r="AVV3" s="15"/>
      <c r="AVW3" s="15"/>
      <c r="AVX3" s="15"/>
      <c r="AVY3" s="15"/>
      <c r="AVZ3" s="15"/>
      <c r="AWA3" s="15"/>
      <c r="AWB3" s="15"/>
      <c r="AWC3" s="15"/>
      <c r="AWD3" s="15"/>
      <c r="AWE3" s="15"/>
      <c r="AWF3" s="15"/>
      <c r="AWG3" s="15"/>
      <c r="AWH3" s="15"/>
      <c r="AWI3" s="15"/>
      <c r="AWJ3" s="15"/>
      <c r="AWK3" s="15"/>
      <c r="AWL3" s="15"/>
      <c r="AWM3" s="15"/>
      <c r="AWN3" s="15"/>
      <c r="AWO3" s="15"/>
      <c r="AWP3" s="15"/>
      <c r="AWQ3" s="15"/>
      <c r="AWR3" s="15"/>
      <c r="AWS3" s="15"/>
      <c r="AWT3" s="15"/>
      <c r="AWU3" s="15"/>
      <c r="AWV3" s="15"/>
      <c r="AWW3" s="15"/>
      <c r="AWX3" s="15"/>
      <c r="AWY3" s="15"/>
      <c r="AWZ3" s="15"/>
      <c r="AXA3" s="15"/>
      <c r="AXB3" s="15"/>
      <c r="AXC3" s="15"/>
      <c r="AXD3" s="15"/>
      <c r="AXE3" s="15"/>
      <c r="AXF3" s="15"/>
      <c r="AXG3" s="15"/>
      <c r="AXH3" s="15"/>
      <c r="AXI3" s="15"/>
      <c r="AXJ3" s="15"/>
      <c r="AXK3" s="15"/>
      <c r="AXL3" s="15"/>
      <c r="AXM3" s="15"/>
      <c r="AXN3" s="15"/>
      <c r="AXO3" s="15"/>
      <c r="AXP3" s="15"/>
      <c r="AXQ3" s="15"/>
      <c r="AXR3" s="15"/>
      <c r="AXS3" s="15"/>
      <c r="AXT3" s="15"/>
      <c r="AXU3" s="15"/>
      <c r="AXV3" s="15"/>
      <c r="AXW3" s="15"/>
      <c r="AXX3" s="15"/>
      <c r="AXY3" s="15"/>
      <c r="AXZ3" s="15"/>
      <c r="AYA3" s="15"/>
      <c r="AYB3" s="15"/>
      <c r="AYC3" s="15"/>
      <c r="AYD3" s="15"/>
      <c r="AYE3" s="15"/>
      <c r="AYF3" s="15"/>
      <c r="AYG3" s="15"/>
      <c r="AYH3" s="15"/>
      <c r="AYI3" s="15"/>
      <c r="AYJ3" s="15"/>
      <c r="AYK3" s="15"/>
      <c r="AYL3" s="15"/>
      <c r="AYM3" s="15"/>
      <c r="AYN3" s="15"/>
      <c r="AYO3" s="15"/>
      <c r="AYP3" s="15"/>
      <c r="AYQ3" s="15"/>
      <c r="AYR3" s="15"/>
      <c r="AYS3" s="15"/>
      <c r="AYT3" s="15"/>
      <c r="AYU3" s="15"/>
      <c r="AYV3" s="15"/>
      <c r="AYW3" s="15"/>
      <c r="AYX3" s="15"/>
      <c r="AYY3" s="15"/>
      <c r="AYZ3" s="15"/>
      <c r="AZA3" s="15"/>
      <c r="AZB3" s="15"/>
      <c r="AZC3" s="15"/>
      <c r="AZD3" s="15"/>
      <c r="AZE3" s="15"/>
      <c r="AZF3" s="15"/>
      <c r="AZG3" s="15"/>
      <c r="AZH3" s="15"/>
      <c r="AZI3" s="15"/>
      <c r="AZJ3" s="15"/>
      <c r="AZK3" s="15"/>
      <c r="AZL3" s="15"/>
      <c r="AZM3" s="15"/>
      <c r="AZN3" s="15"/>
      <c r="AZO3" s="15"/>
      <c r="AZP3" s="15"/>
      <c r="AZQ3" s="15"/>
      <c r="AZR3" s="15"/>
      <c r="AZS3" s="15"/>
      <c r="AZT3" s="15"/>
      <c r="AZU3" s="15"/>
      <c r="AZV3" s="15"/>
      <c r="AZW3" s="15"/>
      <c r="AZX3" s="15"/>
      <c r="AZY3" s="15"/>
      <c r="AZZ3" s="15"/>
      <c r="BAA3" s="15"/>
      <c r="BAB3" s="15"/>
      <c r="BAC3" s="15"/>
      <c r="BAD3" s="15"/>
      <c r="BAE3" s="15"/>
      <c r="BAF3" s="15"/>
      <c r="BAG3" s="15"/>
      <c r="BAH3" s="15"/>
      <c r="BAI3" s="15"/>
      <c r="BAJ3" s="15"/>
      <c r="BAK3" s="15"/>
      <c r="BAL3" s="15"/>
      <c r="BAM3" s="15"/>
      <c r="BAN3" s="15"/>
      <c r="BAO3" s="15"/>
      <c r="BAP3" s="15"/>
      <c r="BAQ3" s="15"/>
      <c r="BAR3" s="15"/>
      <c r="BAS3" s="15"/>
      <c r="BAT3" s="15"/>
      <c r="BAU3" s="15"/>
      <c r="BAV3" s="15"/>
      <c r="BAW3" s="15"/>
      <c r="BAX3" s="15"/>
      <c r="BAY3" s="15"/>
      <c r="BAZ3" s="15"/>
      <c r="BBA3" s="15"/>
      <c r="BBB3" s="15"/>
      <c r="BBC3" s="15"/>
      <c r="BBD3" s="15"/>
      <c r="BBE3" s="15"/>
      <c r="BBF3" s="15"/>
      <c r="BBG3" s="15"/>
      <c r="BBH3" s="15"/>
      <c r="BBI3" s="15"/>
      <c r="BBJ3" s="15"/>
      <c r="BBK3" s="15"/>
      <c r="BBL3" s="15"/>
      <c r="BBM3" s="15"/>
      <c r="BBN3" s="15"/>
      <c r="BBO3" s="15"/>
      <c r="BBP3" s="15"/>
      <c r="BBQ3" s="15"/>
      <c r="BBR3" s="15"/>
      <c r="BBS3" s="15"/>
      <c r="BBT3" s="15"/>
      <c r="BBU3" s="15"/>
      <c r="BBV3" s="15"/>
      <c r="BBW3" s="15"/>
      <c r="BBX3" s="15"/>
      <c r="BBY3" s="15"/>
      <c r="BBZ3" s="15"/>
      <c r="BCA3" s="15"/>
      <c r="BCB3" s="15"/>
      <c r="BCC3" s="15"/>
      <c r="BCD3" s="15"/>
      <c r="BCE3" s="15"/>
      <c r="BCF3" s="15"/>
      <c r="BCG3" s="15"/>
      <c r="BCH3" s="15"/>
      <c r="BCI3" s="15"/>
      <c r="BCJ3" s="15"/>
      <c r="BCK3" s="15"/>
      <c r="BCL3" s="15"/>
      <c r="BCM3" s="15"/>
      <c r="BCN3" s="15"/>
      <c r="BCO3" s="15"/>
      <c r="BCP3" s="15"/>
      <c r="BCQ3" s="15"/>
      <c r="BCR3" s="15"/>
      <c r="BCS3" s="15"/>
      <c r="BCT3" s="15"/>
      <c r="BCU3" s="15"/>
      <c r="BCV3" s="15"/>
      <c r="BCW3" s="15"/>
      <c r="BCX3" s="15"/>
      <c r="BCY3" s="15"/>
      <c r="BCZ3" s="15"/>
      <c r="BDA3" s="15"/>
      <c r="BDB3" s="15"/>
      <c r="BDC3" s="15"/>
      <c r="BDD3" s="15"/>
      <c r="BDE3" s="15"/>
      <c r="BDF3" s="15"/>
      <c r="BDG3" s="15"/>
      <c r="BDH3" s="15"/>
      <c r="BDI3" s="15"/>
      <c r="BDJ3" s="15"/>
      <c r="BDK3" s="15"/>
      <c r="BDL3" s="15"/>
      <c r="BDM3" s="15"/>
      <c r="BDN3" s="15"/>
      <c r="BDO3" s="15"/>
      <c r="BDP3" s="15"/>
      <c r="BDQ3" s="15"/>
      <c r="BDR3" s="15"/>
      <c r="BDS3" s="15"/>
      <c r="BDT3" s="15"/>
      <c r="BDU3" s="15"/>
      <c r="BDV3" s="15"/>
      <c r="BDW3" s="15"/>
      <c r="BDX3" s="15"/>
      <c r="BDY3" s="15"/>
      <c r="BDZ3" s="15"/>
      <c r="BEA3" s="15"/>
      <c r="BEB3" s="15"/>
      <c r="BEC3" s="15"/>
      <c r="BED3" s="15"/>
      <c r="BEE3" s="15"/>
      <c r="BEF3" s="15"/>
      <c r="BEG3" s="15"/>
      <c r="BEH3" s="15"/>
      <c r="BEI3" s="15"/>
      <c r="BEJ3" s="15"/>
      <c r="BEK3" s="15"/>
      <c r="BEL3" s="15"/>
      <c r="BEM3" s="15"/>
      <c r="BEN3" s="15"/>
      <c r="BEO3" s="15"/>
      <c r="BEP3" s="15"/>
      <c r="BEQ3" s="15"/>
      <c r="BER3" s="15"/>
      <c r="BES3" s="15"/>
      <c r="BET3" s="15"/>
      <c r="BEU3" s="15"/>
      <c r="BEV3" s="15"/>
      <c r="BEW3" s="15"/>
      <c r="BEX3" s="15"/>
      <c r="BEY3" s="15"/>
      <c r="BEZ3" s="15"/>
      <c r="BFA3" s="15"/>
      <c r="BFB3" s="15"/>
      <c r="BFC3" s="15"/>
      <c r="BFD3" s="15"/>
      <c r="BFE3" s="15"/>
      <c r="BFF3" s="15"/>
      <c r="BFG3" s="15"/>
      <c r="BFH3" s="15"/>
      <c r="BFI3" s="15"/>
      <c r="BFJ3" s="15"/>
      <c r="BFK3" s="15"/>
      <c r="BFL3" s="15"/>
      <c r="BFM3" s="15"/>
      <c r="BFN3" s="15"/>
      <c r="BFO3" s="15"/>
      <c r="BFP3" s="15"/>
      <c r="BFQ3" s="15"/>
      <c r="BFR3" s="15"/>
      <c r="BFS3" s="15"/>
      <c r="BFT3" s="15"/>
      <c r="BFU3" s="15"/>
      <c r="BFV3" s="15"/>
      <c r="BFW3" s="15"/>
      <c r="BFX3" s="15"/>
      <c r="BFY3" s="15"/>
      <c r="BFZ3" s="15"/>
      <c r="BGA3" s="15"/>
      <c r="BGB3" s="15"/>
      <c r="BGC3" s="15"/>
      <c r="BGD3" s="15"/>
      <c r="BGE3" s="15"/>
      <c r="BGF3" s="15"/>
      <c r="BGG3" s="15"/>
      <c r="BGH3" s="15"/>
      <c r="BGI3" s="15"/>
      <c r="BGJ3" s="15"/>
      <c r="BGK3" s="15"/>
      <c r="BGL3" s="15"/>
      <c r="BGM3" s="15"/>
      <c r="BGN3" s="15"/>
      <c r="BGO3" s="15"/>
      <c r="BGP3" s="15"/>
      <c r="BGQ3" s="15"/>
      <c r="BGR3" s="15"/>
      <c r="BGS3" s="15"/>
      <c r="BGT3" s="15"/>
      <c r="BGU3" s="15"/>
      <c r="BGV3" s="15"/>
      <c r="BGW3" s="15"/>
      <c r="BGX3" s="15"/>
      <c r="BGY3" s="15"/>
      <c r="BGZ3" s="15"/>
      <c r="BHA3" s="15"/>
      <c r="BHB3" s="15"/>
      <c r="BHC3" s="15"/>
      <c r="BHD3" s="15"/>
      <c r="BHE3" s="15"/>
      <c r="BHF3" s="15"/>
      <c r="BHG3" s="15"/>
      <c r="BHH3" s="15"/>
      <c r="BHI3" s="15"/>
      <c r="BHJ3" s="15"/>
      <c r="BHK3" s="15"/>
      <c r="BHL3" s="15"/>
      <c r="BHM3" s="15"/>
      <c r="BHN3" s="15"/>
      <c r="BHO3" s="15"/>
      <c r="BHP3" s="15"/>
      <c r="BHQ3" s="15"/>
      <c r="BHR3" s="15"/>
      <c r="BHS3" s="15"/>
      <c r="BHT3" s="15"/>
      <c r="BHU3" s="15"/>
      <c r="BHV3" s="15"/>
      <c r="BHW3" s="15"/>
      <c r="BHX3" s="15"/>
      <c r="BHY3" s="15"/>
      <c r="BHZ3" s="15"/>
      <c r="BIA3" s="15"/>
      <c r="BIB3" s="15"/>
      <c r="BIC3" s="15"/>
      <c r="BID3" s="15"/>
      <c r="BIE3" s="15"/>
      <c r="BIF3" s="15"/>
      <c r="BIG3" s="15"/>
      <c r="BIH3" s="15"/>
      <c r="BII3" s="15"/>
      <c r="BIJ3" s="15"/>
      <c r="BIK3" s="15"/>
      <c r="BIL3" s="15"/>
      <c r="BIM3" s="15"/>
      <c r="BIN3" s="15"/>
      <c r="BIO3" s="15"/>
      <c r="BIP3" s="15"/>
      <c r="BIQ3" s="15"/>
      <c r="BIR3" s="15"/>
      <c r="BIS3" s="15"/>
      <c r="BIT3" s="15"/>
      <c r="BIU3" s="15"/>
      <c r="BIV3" s="15"/>
      <c r="BIW3" s="15"/>
      <c r="BIX3" s="15"/>
      <c r="BIY3" s="15"/>
      <c r="BIZ3" s="15"/>
      <c r="BJA3" s="15"/>
      <c r="BJB3" s="15"/>
      <c r="BJC3" s="15"/>
      <c r="BJD3" s="15"/>
      <c r="BJE3" s="15"/>
      <c r="BJF3" s="15"/>
      <c r="BJG3" s="15"/>
      <c r="BJH3" s="15"/>
      <c r="BJI3" s="15"/>
      <c r="BJJ3" s="15"/>
      <c r="BJK3" s="15"/>
      <c r="BJL3" s="15"/>
      <c r="BJM3" s="15"/>
      <c r="BJN3" s="15"/>
      <c r="BJO3" s="15"/>
      <c r="BJP3" s="15"/>
      <c r="BJQ3" s="15"/>
      <c r="BJR3" s="15"/>
      <c r="BJS3" s="15"/>
      <c r="BJT3" s="15"/>
      <c r="BJU3" s="15"/>
      <c r="BJV3" s="15"/>
      <c r="BJW3" s="15"/>
      <c r="BJX3" s="15"/>
      <c r="BJY3" s="15"/>
      <c r="BJZ3" s="15"/>
      <c r="BKA3" s="15"/>
      <c r="BKB3" s="15"/>
      <c r="BKC3" s="15"/>
      <c r="BKD3" s="15"/>
      <c r="BKE3" s="15"/>
      <c r="BKF3" s="15"/>
      <c r="BKG3" s="15"/>
      <c r="BKH3" s="15"/>
      <c r="BKI3" s="15"/>
      <c r="BKJ3" s="15"/>
      <c r="BKK3" s="15"/>
      <c r="BKL3" s="15"/>
      <c r="BKM3" s="15"/>
      <c r="BKN3" s="15"/>
      <c r="BKO3" s="15"/>
      <c r="BKP3" s="15"/>
      <c r="BKQ3" s="15"/>
      <c r="BKR3" s="15"/>
      <c r="BKS3" s="15"/>
      <c r="BKT3" s="15"/>
      <c r="BKU3" s="15"/>
      <c r="BKV3" s="15"/>
      <c r="BKW3" s="15"/>
      <c r="BKX3" s="15"/>
      <c r="BKY3" s="15"/>
      <c r="BKZ3" s="15"/>
      <c r="BLA3" s="15"/>
      <c r="BLB3" s="15"/>
      <c r="BLC3" s="15"/>
      <c r="BLD3" s="15"/>
      <c r="BLE3" s="15"/>
      <c r="BLF3" s="15"/>
      <c r="BLG3" s="15"/>
      <c r="BLH3" s="15"/>
      <c r="BLI3" s="15"/>
      <c r="BLJ3" s="15"/>
      <c r="BLK3" s="15"/>
      <c r="BLL3" s="15"/>
      <c r="BLM3" s="15"/>
      <c r="BLN3" s="15"/>
      <c r="BLO3" s="15"/>
      <c r="BLP3" s="15"/>
      <c r="BLQ3" s="15"/>
      <c r="BLR3" s="15"/>
      <c r="BLS3" s="15"/>
      <c r="BLT3" s="15"/>
      <c r="BLU3" s="15"/>
      <c r="BLV3" s="15"/>
      <c r="BLW3" s="15"/>
      <c r="BLX3" s="15"/>
      <c r="BLY3" s="15"/>
      <c r="BLZ3" s="15"/>
      <c r="BMA3" s="15"/>
      <c r="BMB3" s="15"/>
      <c r="BMC3" s="15"/>
      <c r="BMD3" s="15"/>
      <c r="BME3" s="15"/>
      <c r="BMF3" s="15"/>
      <c r="BMG3" s="15"/>
      <c r="BMH3" s="15"/>
      <c r="BMI3" s="15"/>
      <c r="BMJ3" s="15"/>
      <c r="BMK3" s="15"/>
      <c r="BML3" s="15"/>
      <c r="BMM3" s="15"/>
      <c r="BMN3" s="15"/>
      <c r="BMO3" s="15"/>
      <c r="BMP3" s="15"/>
      <c r="BMQ3" s="15"/>
      <c r="BMR3" s="15"/>
      <c r="BMS3" s="15"/>
      <c r="BMT3" s="15"/>
      <c r="BMU3" s="15"/>
      <c r="BMV3" s="15"/>
      <c r="BMW3" s="15"/>
      <c r="BMX3" s="15"/>
      <c r="BMY3" s="15"/>
      <c r="BMZ3" s="15"/>
      <c r="BNA3" s="15"/>
      <c r="BNB3" s="15"/>
      <c r="BNC3" s="15"/>
      <c r="BND3" s="15"/>
      <c r="BNE3" s="15"/>
      <c r="BNF3" s="15"/>
      <c r="BNG3" s="15"/>
      <c r="BNH3" s="15"/>
      <c r="BNI3" s="15"/>
      <c r="BNJ3" s="15"/>
      <c r="BNK3" s="15"/>
      <c r="BNL3" s="15"/>
      <c r="BNM3" s="15"/>
      <c r="BNN3" s="15"/>
      <c r="BNO3" s="15"/>
      <c r="BNP3" s="15"/>
      <c r="BNQ3" s="15"/>
      <c r="BNR3" s="15"/>
      <c r="BNS3" s="15"/>
      <c r="BNT3" s="15"/>
      <c r="BNU3" s="15"/>
      <c r="BNV3" s="15"/>
      <c r="BNW3" s="15"/>
      <c r="BNX3" s="15"/>
      <c r="BNY3" s="15"/>
      <c r="BNZ3" s="15"/>
      <c r="BOA3" s="15"/>
      <c r="BOB3" s="15"/>
      <c r="BOC3" s="15"/>
      <c r="BOD3" s="15"/>
      <c r="BOE3" s="15"/>
      <c r="BOF3" s="15"/>
      <c r="BOG3" s="15"/>
      <c r="BOH3" s="15"/>
      <c r="BOI3" s="15"/>
      <c r="BOJ3" s="15"/>
      <c r="BOK3" s="15"/>
      <c r="BOL3" s="15"/>
      <c r="BOM3" s="15"/>
      <c r="BON3" s="15"/>
      <c r="BOO3" s="15"/>
      <c r="BOP3" s="15"/>
      <c r="BOQ3" s="15"/>
      <c r="BOR3" s="15"/>
      <c r="BOS3" s="15"/>
      <c r="BOT3" s="15"/>
      <c r="BOU3" s="15"/>
      <c r="BOV3" s="15"/>
      <c r="BOW3" s="15"/>
      <c r="BOX3" s="15"/>
      <c r="BOY3" s="15"/>
      <c r="BOZ3" s="15"/>
      <c r="BPA3" s="15"/>
      <c r="BPB3" s="15"/>
      <c r="BPC3" s="15"/>
      <c r="BPD3" s="15"/>
      <c r="BPE3" s="15"/>
      <c r="BPF3" s="15"/>
      <c r="BPG3" s="15"/>
      <c r="BPH3" s="15"/>
      <c r="BPI3" s="15"/>
      <c r="BPJ3" s="15"/>
      <c r="BPK3" s="15"/>
      <c r="BPL3" s="15"/>
      <c r="BPM3" s="15"/>
      <c r="BPN3" s="15"/>
      <c r="BPO3" s="15"/>
      <c r="BPP3" s="15"/>
      <c r="BPQ3" s="15"/>
      <c r="BPR3" s="15"/>
      <c r="BPS3" s="15"/>
      <c r="BPT3" s="15"/>
      <c r="BPU3" s="15"/>
      <c r="BPV3" s="15"/>
      <c r="BPW3" s="15"/>
      <c r="BPX3" s="15"/>
      <c r="BPY3" s="15"/>
      <c r="BPZ3" s="15"/>
      <c r="BQA3" s="15"/>
      <c r="BQB3" s="15"/>
      <c r="BQC3" s="15"/>
      <c r="BQD3" s="15"/>
      <c r="BQE3" s="15"/>
      <c r="BQF3" s="15"/>
      <c r="BQG3" s="15"/>
      <c r="BQH3" s="15"/>
      <c r="BQI3" s="15"/>
      <c r="BQJ3" s="15"/>
      <c r="BQK3" s="15"/>
      <c r="BQL3" s="15"/>
      <c r="BQM3" s="15"/>
      <c r="BQN3" s="15"/>
      <c r="BQO3" s="15"/>
      <c r="BQP3" s="15"/>
      <c r="BQQ3" s="15"/>
      <c r="BQR3" s="15"/>
      <c r="BQS3" s="15"/>
      <c r="BQT3" s="15"/>
      <c r="BQU3" s="15"/>
      <c r="BQV3" s="15"/>
      <c r="BQW3" s="15"/>
      <c r="BQX3" s="15"/>
      <c r="BQY3" s="15"/>
      <c r="BQZ3" s="15"/>
      <c r="BRA3" s="15"/>
      <c r="BRB3" s="15"/>
      <c r="BRC3" s="15"/>
      <c r="BRD3" s="15"/>
      <c r="BRE3" s="15"/>
      <c r="BRF3" s="15"/>
      <c r="BRG3" s="15"/>
      <c r="BRH3" s="15"/>
      <c r="BRI3" s="15"/>
      <c r="BRJ3" s="15"/>
      <c r="BRK3" s="15"/>
      <c r="BRL3" s="15"/>
      <c r="BRM3" s="15"/>
      <c r="BRN3" s="15"/>
      <c r="BRO3" s="15"/>
      <c r="BRP3" s="15"/>
      <c r="BRQ3" s="15"/>
      <c r="BRR3" s="15"/>
      <c r="BRS3" s="15"/>
      <c r="BRT3" s="15"/>
      <c r="BRU3" s="15"/>
      <c r="BRV3" s="15"/>
      <c r="BRW3" s="15"/>
      <c r="BRX3" s="15"/>
      <c r="BRY3" s="15"/>
      <c r="BRZ3" s="15"/>
      <c r="BSA3" s="15"/>
      <c r="BSB3" s="15"/>
      <c r="BSC3" s="15"/>
      <c r="BSD3" s="15"/>
      <c r="BSE3" s="15"/>
      <c r="BSF3" s="15"/>
      <c r="BSG3" s="15"/>
      <c r="BSH3" s="15"/>
      <c r="BSI3" s="15"/>
      <c r="BSJ3" s="15"/>
      <c r="BSK3" s="15"/>
      <c r="BSL3" s="15"/>
      <c r="BSM3" s="15"/>
      <c r="BSN3" s="15"/>
      <c r="BSO3" s="15"/>
      <c r="BSP3" s="15"/>
      <c r="BSQ3" s="15"/>
      <c r="BSR3" s="15"/>
      <c r="BSS3" s="15"/>
      <c r="BST3" s="15"/>
      <c r="BSU3" s="15"/>
      <c r="BSV3" s="15"/>
      <c r="BSW3" s="15"/>
      <c r="BSX3" s="15"/>
      <c r="BSY3" s="15"/>
      <c r="BSZ3" s="15"/>
      <c r="BTA3" s="15"/>
      <c r="BTB3" s="15"/>
      <c r="BTC3" s="15"/>
      <c r="BTD3" s="15"/>
      <c r="BTE3" s="15"/>
      <c r="BTF3" s="15"/>
      <c r="BTG3" s="15"/>
      <c r="BTH3" s="15"/>
      <c r="BTI3" s="15"/>
      <c r="BTJ3" s="15"/>
      <c r="BTK3" s="15"/>
      <c r="BTL3" s="15"/>
      <c r="BTM3" s="15"/>
      <c r="BTN3" s="15"/>
      <c r="BTO3" s="15"/>
      <c r="BTP3" s="15"/>
      <c r="BTQ3" s="15"/>
      <c r="BTR3" s="15"/>
      <c r="BTS3" s="15"/>
      <c r="BTT3" s="15"/>
      <c r="BTU3" s="15"/>
      <c r="BTV3" s="15"/>
      <c r="BTW3" s="15"/>
      <c r="BTX3" s="15"/>
      <c r="BTY3" s="15"/>
      <c r="BTZ3" s="15"/>
      <c r="BUA3" s="15"/>
      <c r="BUB3" s="15"/>
      <c r="BUC3" s="15"/>
      <c r="BUD3" s="15"/>
      <c r="BUE3" s="15"/>
      <c r="BUF3" s="15"/>
      <c r="BUG3" s="15"/>
      <c r="BUH3" s="15"/>
      <c r="BUI3" s="15"/>
      <c r="BUJ3" s="15"/>
      <c r="BUK3" s="15"/>
      <c r="BUL3" s="15"/>
      <c r="BUM3" s="15"/>
      <c r="BUN3" s="15"/>
      <c r="BUO3" s="15"/>
      <c r="BUP3" s="15"/>
      <c r="BUQ3" s="15"/>
      <c r="BUR3" s="15"/>
      <c r="BUS3" s="15"/>
      <c r="BUT3" s="15"/>
      <c r="BUU3" s="15"/>
      <c r="BUV3" s="15"/>
      <c r="BUW3" s="15"/>
      <c r="BUX3" s="15"/>
      <c r="BUY3" s="15"/>
      <c r="BUZ3" s="15"/>
      <c r="BVA3" s="15"/>
      <c r="BVB3" s="15"/>
      <c r="BVC3" s="15"/>
      <c r="BVD3" s="15"/>
      <c r="BVE3" s="15"/>
      <c r="BVF3" s="15"/>
      <c r="BVG3" s="15"/>
      <c r="BVH3" s="15"/>
      <c r="BVI3" s="15"/>
      <c r="BVJ3" s="15"/>
      <c r="BVK3" s="15"/>
      <c r="BVL3" s="15"/>
      <c r="BVM3" s="15"/>
      <c r="BVN3" s="15"/>
      <c r="BVO3" s="15"/>
      <c r="BVP3" s="15"/>
      <c r="BVQ3" s="15"/>
      <c r="BVR3" s="15"/>
      <c r="BVS3" s="15"/>
      <c r="BVT3" s="15"/>
      <c r="BVU3" s="15"/>
      <c r="BVV3" s="15"/>
      <c r="BVW3" s="15"/>
      <c r="BVX3" s="15"/>
      <c r="BVY3" s="15"/>
      <c r="BVZ3" s="15"/>
      <c r="BWA3" s="15"/>
      <c r="BWB3" s="15"/>
      <c r="BWC3" s="15"/>
      <c r="BWD3" s="15"/>
      <c r="BWE3" s="15"/>
      <c r="BWF3" s="15"/>
      <c r="BWG3" s="15"/>
      <c r="BWH3" s="15"/>
      <c r="BWI3" s="15"/>
      <c r="BWJ3" s="15"/>
      <c r="BWK3" s="15"/>
      <c r="BWL3" s="15"/>
      <c r="BWM3" s="15"/>
      <c r="BWN3" s="15"/>
      <c r="BWO3" s="15"/>
      <c r="BWP3" s="15"/>
      <c r="BWQ3" s="15"/>
      <c r="BWR3" s="15"/>
      <c r="BWS3" s="15"/>
      <c r="BWT3" s="15"/>
      <c r="BWU3" s="15"/>
      <c r="BWV3" s="15"/>
      <c r="BWW3" s="15"/>
      <c r="BWX3" s="15"/>
      <c r="BWY3" s="15"/>
      <c r="BWZ3" s="15"/>
      <c r="BXA3" s="15"/>
      <c r="BXB3" s="15"/>
      <c r="BXC3" s="15"/>
      <c r="BXD3" s="15"/>
      <c r="BXE3" s="15"/>
      <c r="BXF3" s="15"/>
      <c r="BXG3" s="15"/>
      <c r="BXH3" s="15"/>
      <c r="BXI3" s="15"/>
      <c r="BXJ3" s="15"/>
      <c r="BXK3" s="15"/>
      <c r="BXL3" s="15"/>
      <c r="BXM3" s="15"/>
      <c r="BXN3" s="15"/>
      <c r="BXO3" s="15"/>
      <c r="BXP3" s="15"/>
      <c r="BXQ3" s="15"/>
      <c r="BXR3" s="15"/>
      <c r="BXS3" s="15"/>
      <c r="BXT3" s="15"/>
      <c r="BXU3" s="15"/>
      <c r="BXV3" s="15"/>
      <c r="BXW3" s="15"/>
      <c r="BXX3" s="15"/>
      <c r="BXY3" s="15"/>
      <c r="BXZ3" s="15"/>
      <c r="BYA3" s="15"/>
      <c r="BYB3" s="15"/>
      <c r="BYC3" s="15"/>
      <c r="BYD3" s="15"/>
      <c r="BYE3" s="15"/>
      <c r="BYF3" s="15"/>
      <c r="BYG3" s="15"/>
      <c r="BYH3" s="15"/>
      <c r="BYI3" s="15"/>
      <c r="BYJ3" s="15"/>
      <c r="BYK3" s="15"/>
      <c r="BYL3" s="15"/>
      <c r="BYM3" s="15"/>
      <c r="BYN3" s="15"/>
      <c r="BYO3" s="15"/>
      <c r="BYP3" s="15"/>
      <c r="BYQ3" s="15"/>
      <c r="BYR3" s="15"/>
      <c r="BYS3" s="15"/>
      <c r="BYT3" s="15"/>
      <c r="BYU3" s="15"/>
      <c r="BYV3" s="15"/>
      <c r="BYW3" s="15"/>
      <c r="BYX3" s="15"/>
      <c r="BYY3" s="15"/>
      <c r="BYZ3" s="15"/>
      <c r="BZA3" s="15"/>
      <c r="BZB3" s="15"/>
      <c r="BZC3" s="15"/>
      <c r="BZD3" s="15"/>
      <c r="BZE3" s="15"/>
      <c r="BZF3" s="15"/>
      <c r="BZG3" s="15"/>
      <c r="BZH3" s="15"/>
      <c r="BZI3" s="15"/>
      <c r="BZJ3" s="15"/>
      <c r="BZK3" s="15"/>
      <c r="BZL3" s="15"/>
      <c r="BZM3" s="15"/>
      <c r="BZN3" s="15"/>
      <c r="BZO3" s="15"/>
      <c r="BZP3" s="15"/>
      <c r="BZQ3" s="15"/>
      <c r="BZR3" s="15"/>
      <c r="BZS3" s="15"/>
      <c r="BZT3" s="15"/>
      <c r="BZU3" s="15"/>
      <c r="BZV3" s="15"/>
      <c r="BZW3" s="15"/>
      <c r="BZX3" s="15"/>
      <c r="BZY3" s="15"/>
      <c r="BZZ3" s="15"/>
      <c r="CAA3" s="15"/>
      <c r="CAB3" s="15"/>
      <c r="CAC3" s="15"/>
      <c r="CAD3" s="15"/>
      <c r="CAE3" s="15"/>
      <c r="CAF3" s="15"/>
      <c r="CAG3" s="15"/>
      <c r="CAH3" s="15"/>
      <c r="CAI3" s="15"/>
      <c r="CAJ3" s="15"/>
      <c r="CAK3" s="15"/>
      <c r="CAL3" s="15"/>
      <c r="CAM3" s="15"/>
      <c r="CAN3" s="15"/>
      <c r="CAO3" s="15"/>
      <c r="CAP3" s="15"/>
      <c r="CAQ3" s="15"/>
      <c r="CAR3" s="15"/>
      <c r="CAS3" s="15"/>
      <c r="CAT3" s="15"/>
      <c r="CAU3" s="15"/>
      <c r="CAV3" s="15"/>
      <c r="CAW3" s="15"/>
      <c r="CAX3" s="15"/>
      <c r="CAY3" s="15"/>
      <c r="CAZ3" s="15"/>
      <c r="CBA3" s="15"/>
      <c r="CBB3" s="15"/>
      <c r="CBC3" s="15"/>
      <c r="CBD3" s="15"/>
      <c r="CBE3" s="15"/>
      <c r="CBF3" s="15"/>
      <c r="CBG3" s="15"/>
      <c r="CBH3" s="15"/>
      <c r="CBI3" s="15"/>
      <c r="CBJ3" s="15"/>
      <c r="CBK3" s="15"/>
      <c r="CBL3" s="15"/>
      <c r="CBM3" s="15"/>
      <c r="CBN3" s="15"/>
      <c r="CBO3" s="15"/>
      <c r="CBP3" s="15"/>
      <c r="CBQ3" s="15"/>
      <c r="CBR3" s="15"/>
      <c r="CBS3" s="15"/>
      <c r="CBT3" s="15"/>
      <c r="CBU3" s="15"/>
      <c r="CBV3" s="15"/>
      <c r="CBW3" s="15"/>
      <c r="CBX3" s="15"/>
      <c r="CBY3" s="15"/>
      <c r="CBZ3" s="15"/>
      <c r="CCA3" s="15"/>
      <c r="CCB3" s="15"/>
      <c r="CCC3" s="15"/>
      <c r="CCD3" s="15"/>
      <c r="CCE3" s="15"/>
      <c r="CCF3" s="15"/>
      <c r="CCG3" s="15"/>
      <c r="CCH3" s="15"/>
      <c r="CCI3" s="15"/>
      <c r="CCJ3" s="15"/>
      <c r="CCK3" s="15"/>
      <c r="CCL3" s="15"/>
      <c r="CCM3" s="15"/>
      <c r="CCN3" s="15"/>
      <c r="CCO3" s="15"/>
      <c r="CCP3" s="15"/>
      <c r="CCQ3" s="15"/>
      <c r="CCR3" s="15"/>
      <c r="CCS3" s="15"/>
      <c r="CCT3" s="15"/>
      <c r="CCU3" s="15"/>
      <c r="CCV3" s="15"/>
      <c r="CCW3" s="15"/>
      <c r="CCX3" s="15"/>
      <c r="CCY3" s="15"/>
      <c r="CCZ3" s="15"/>
      <c r="CDA3" s="15"/>
      <c r="CDB3" s="15"/>
      <c r="CDC3" s="15"/>
      <c r="CDD3" s="15"/>
      <c r="CDE3" s="15"/>
      <c r="CDF3" s="15"/>
      <c r="CDG3" s="15"/>
      <c r="CDH3" s="15"/>
      <c r="CDI3" s="15"/>
      <c r="CDJ3" s="15"/>
      <c r="CDK3" s="15"/>
      <c r="CDL3" s="15"/>
      <c r="CDM3" s="15"/>
      <c r="CDN3" s="15"/>
      <c r="CDO3" s="15"/>
      <c r="CDP3" s="15"/>
      <c r="CDQ3" s="15"/>
      <c r="CDR3" s="15"/>
      <c r="CDS3" s="15"/>
      <c r="CDT3" s="15"/>
      <c r="CDU3" s="15"/>
      <c r="CDV3" s="15"/>
      <c r="CDW3" s="15"/>
      <c r="CDX3" s="15"/>
      <c r="CDY3" s="15"/>
      <c r="CDZ3" s="15"/>
      <c r="CEA3" s="15"/>
      <c r="CEB3" s="15"/>
      <c r="CEC3" s="15"/>
      <c r="CED3" s="15"/>
      <c r="CEE3" s="15"/>
      <c r="CEF3" s="15"/>
      <c r="CEG3" s="15"/>
      <c r="CEH3" s="15"/>
      <c r="CEI3" s="15"/>
      <c r="CEJ3" s="15"/>
      <c r="CEK3" s="15"/>
      <c r="CEL3" s="15"/>
      <c r="CEM3" s="15"/>
      <c r="CEN3" s="15"/>
      <c r="CEO3" s="15"/>
      <c r="CEP3" s="15"/>
      <c r="CEQ3" s="15"/>
      <c r="CER3" s="15"/>
      <c r="CES3" s="15"/>
      <c r="CET3" s="15"/>
      <c r="CEU3" s="15"/>
      <c r="CEV3" s="15"/>
      <c r="CEW3" s="15"/>
      <c r="CEX3" s="15"/>
      <c r="CEY3" s="15"/>
      <c r="CEZ3" s="15"/>
      <c r="CFA3" s="15"/>
      <c r="CFB3" s="15"/>
      <c r="CFC3" s="15"/>
      <c r="CFD3" s="15"/>
      <c r="CFE3" s="15"/>
      <c r="CFF3" s="15"/>
      <c r="CFG3" s="15"/>
      <c r="CFH3" s="15"/>
      <c r="CFI3" s="15"/>
      <c r="CFJ3" s="15"/>
      <c r="CFK3" s="15"/>
      <c r="CFL3" s="15"/>
      <c r="CFM3" s="15"/>
      <c r="CFN3" s="15"/>
      <c r="CFO3" s="15"/>
      <c r="CFP3" s="15"/>
      <c r="CFQ3" s="15"/>
      <c r="CFR3" s="15"/>
      <c r="CFS3" s="15"/>
      <c r="CFT3" s="15"/>
      <c r="CFU3" s="15"/>
      <c r="CFV3" s="15"/>
      <c r="CFW3" s="15"/>
      <c r="CFX3" s="15"/>
      <c r="CFY3" s="15"/>
      <c r="CFZ3" s="15"/>
      <c r="CGA3" s="15"/>
      <c r="CGB3" s="15"/>
      <c r="CGC3" s="15"/>
      <c r="CGD3" s="15"/>
      <c r="CGE3" s="15"/>
      <c r="CGF3" s="15"/>
      <c r="CGG3" s="15"/>
      <c r="CGH3" s="15"/>
      <c r="CGI3" s="15"/>
      <c r="CGJ3" s="15"/>
      <c r="CGK3" s="15"/>
      <c r="CGL3" s="15"/>
      <c r="CGM3" s="15"/>
      <c r="CGN3" s="15"/>
      <c r="CGO3" s="15"/>
      <c r="CGP3" s="15"/>
      <c r="CGQ3" s="15"/>
      <c r="CGR3" s="15"/>
      <c r="CGS3" s="15"/>
      <c r="CGT3" s="15"/>
      <c r="CGU3" s="15"/>
      <c r="CGV3" s="15"/>
      <c r="CGW3" s="15"/>
      <c r="CGX3" s="15"/>
      <c r="CGY3" s="15"/>
      <c r="CGZ3" s="15"/>
      <c r="CHA3" s="15"/>
      <c r="CHB3" s="15"/>
      <c r="CHC3" s="15"/>
      <c r="CHD3" s="15"/>
      <c r="CHE3" s="15"/>
      <c r="CHF3" s="15"/>
      <c r="CHG3" s="15"/>
      <c r="CHH3" s="15"/>
      <c r="CHI3" s="15"/>
      <c r="CHJ3" s="15"/>
      <c r="CHK3" s="15"/>
      <c r="CHL3" s="15"/>
      <c r="CHM3" s="15"/>
      <c r="CHN3" s="15"/>
      <c r="CHO3" s="15"/>
      <c r="CHP3" s="15"/>
      <c r="CHQ3" s="15"/>
      <c r="CHR3" s="15"/>
      <c r="CHS3" s="15"/>
      <c r="CHT3" s="15"/>
      <c r="CHU3" s="15"/>
      <c r="CHV3" s="15"/>
      <c r="CHW3" s="15"/>
      <c r="CHX3" s="15"/>
      <c r="CHY3" s="15"/>
      <c r="CHZ3" s="15"/>
      <c r="CIA3" s="15"/>
      <c r="CIB3" s="15"/>
      <c r="CIC3" s="15"/>
      <c r="CID3" s="15"/>
      <c r="CIE3" s="15"/>
      <c r="CIF3" s="15"/>
      <c r="CIG3" s="15"/>
      <c r="CIH3" s="15"/>
      <c r="CII3" s="15"/>
      <c r="CIJ3" s="15"/>
      <c r="CIK3" s="15"/>
      <c r="CIL3" s="15"/>
      <c r="CIM3" s="15"/>
      <c r="CIN3" s="15"/>
      <c r="CIO3" s="15"/>
      <c r="CIP3" s="15"/>
      <c r="CIQ3" s="15"/>
      <c r="CIR3" s="15"/>
      <c r="CIS3" s="15"/>
      <c r="CIT3" s="15"/>
      <c r="CIU3" s="15"/>
      <c r="CIV3" s="15"/>
      <c r="CIW3" s="15"/>
      <c r="CIX3" s="15"/>
      <c r="CIY3" s="15"/>
      <c r="CIZ3" s="15"/>
      <c r="CJA3" s="15"/>
      <c r="CJB3" s="15"/>
      <c r="CJC3" s="15"/>
      <c r="CJD3" s="15"/>
      <c r="CJE3" s="15"/>
      <c r="CJF3" s="15"/>
      <c r="CJG3" s="15"/>
      <c r="CJH3" s="15"/>
      <c r="CJI3" s="15"/>
      <c r="CJJ3" s="15"/>
      <c r="CJK3" s="15"/>
      <c r="CJL3" s="15"/>
      <c r="CJM3" s="15"/>
      <c r="CJN3" s="15"/>
      <c r="CJO3" s="15"/>
      <c r="CJP3" s="15"/>
      <c r="CJQ3" s="15"/>
      <c r="CJR3" s="15"/>
      <c r="CJS3" s="15"/>
      <c r="CJT3" s="15"/>
      <c r="CJU3" s="15"/>
      <c r="CJV3" s="15"/>
      <c r="CJW3" s="15"/>
      <c r="CJX3" s="15"/>
      <c r="CJY3" s="15"/>
      <c r="CJZ3" s="15"/>
      <c r="CKA3" s="15"/>
      <c r="CKB3" s="15"/>
      <c r="CKC3" s="15"/>
      <c r="CKD3" s="15"/>
      <c r="CKE3" s="15"/>
      <c r="CKF3" s="15"/>
      <c r="CKG3" s="15"/>
      <c r="CKH3" s="15"/>
      <c r="CKI3" s="15"/>
      <c r="CKJ3" s="15"/>
      <c r="CKK3" s="15"/>
      <c r="CKL3" s="15"/>
      <c r="CKM3" s="15"/>
      <c r="CKN3" s="15"/>
      <c r="CKO3" s="15"/>
      <c r="CKP3" s="15"/>
      <c r="CKQ3" s="15"/>
      <c r="CKR3" s="15"/>
      <c r="CKS3" s="15"/>
      <c r="CKT3" s="15"/>
      <c r="CKU3" s="15"/>
      <c r="CKV3" s="15"/>
      <c r="CKW3" s="15"/>
      <c r="CKX3" s="15"/>
      <c r="CKY3" s="15"/>
      <c r="CKZ3" s="15"/>
      <c r="CLA3" s="15"/>
      <c r="CLB3" s="15"/>
      <c r="CLC3" s="15"/>
      <c r="CLD3" s="15"/>
      <c r="CLE3" s="15"/>
      <c r="CLF3" s="15"/>
      <c r="CLG3" s="15"/>
      <c r="CLH3" s="15"/>
      <c r="CLI3" s="15"/>
      <c r="CLJ3" s="15"/>
      <c r="CLK3" s="15"/>
      <c r="CLL3" s="15"/>
      <c r="CLM3" s="15"/>
      <c r="CLN3" s="15"/>
      <c r="CLO3" s="15"/>
      <c r="CLP3" s="15"/>
      <c r="CLQ3" s="15"/>
      <c r="CLR3" s="15"/>
      <c r="CLS3" s="15"/>
      <c r="CLT3" s="15"/>
      <c r="CLU3" s="15"/>
      <c r="CLV3" s="15"/>
      <c r="CLW3" s="15"/>
      <c r="CLX3" s="15"/>
      <c r="CLY3" s="15"/>
      <c r="CLZ3" s="15"/>
      <c r="CMA3" s="15"/>
      <c r="CMB3" s="15"/>
      <c r="CMC3" s="15"/>
      <c r="CMD3" s="15"/>
      <c r="CME3" s="15"/>
      <c r="CMF3" s="15"/>
      <c r="CMG3" s="15"/>
      <c r="CMH3" s="15"/>
      <c r="CMI3" s="15"/>
      <c r="CMJ3" s="15"/>
      <c r="CMK3" s="15"/>
      <c r="CML3" s="15"/>
      <c r="CMM3" s="15"/>
      <c r="CMN3" s="15"/>
      <c r="CMO3" s="15"/>
      <c r="CMP3" s="15"/>
      <c r="CMQ3" s="15"/>
      <c r="CMR3" s="15"/>
      <c r="CMS3" s="15"/>
      <c r="CMT3" s="15"/>
      <c r="CMU3" s="15"/>
      <c r="CMV3" s="15"/>
      <c r="CMW3" s="15"/>
      <c r="CMX3" s="15"/>
      <c r="CMY3" s="15"/>
      <c r="CMZ3" s="15"/>
      <c r="CNA3" s="15"/>
      <c r="CNB3" s="15"/>
      <c r="CNC3" s="15"/>
      <c r="CND3" s="15"/>
      <c r="CNE3" s="15"/>
      <c r="CNF3" s="15"/>
      <c r="CNG3" s="15"/>
      <c r="CNH3" s="15"/>
      <c r="CNI3" s="15"/>
      <c r="CNJ3" s="15"/>
      <c r="CNK3" s="15"/>
      <c r="CNL3" s="15"/>
      <c r="CNM3" s="15"/>
      <c r="CNN3" s="15"/>
      <c r="CNO3" s="15"/>
      <c r="CNP3" s="15"/>
      <c r="CNQ3" s="15"/>
      <c r="CNR3" s="15"/>
      <c r="CNS3" s="15"/>
      <c r="CNT3" s="15"/>
      <c r="CNU3" s="15"/>
      <c r="CNV3" s="15"/>
      <c r="CNW3" s="15"/>
      <c r="CNX3" s="15"/>
      <c r="CNY3" s="15"/>
      <c r="CNZ3" s="15"/>
      <c r="COA3" s="15"/>
      <c r="COB3" s="15"/>
      <c r="COC3" s="15"/>
      <c r="COD3" s="15"/>
      <c r="COE3" s="15"/>
      <c r="COF3" s="15"/>
      <c r="COG3" s="15"/>
      <c r="COH3" s="15"/>
      <c r="COI3" s="15"/>
      <c r="COJ3" s="15"/>
      <c r="COK3" s="15"/>
      <c r="COL3" s="15"/>
      <c r="COM3" s="15"/>
      <c r="CON3" s="15"/>
      <c r="COO3" s="15"/>
      <c r="COP3" s="15"/>
      <c r="COQ3" s="15"/>
      <c r="COR3" s="15"/>
      <c r="COS3" s="15"/>
      <c r="COT3" s="15"/>
      <c r="COU3" s="15"/>
      <c r="COV3" s="15"/>
      <c r="COW3" s="15"/>
      <c r="COX3" s="15"/>
      <c r="COY3" s="15"/>
      <c r="COZ3" s="15"/>
      <c r="CPA3" s="15"/>
      <c r="CPB3" s="15"/>
      <c r="CPC3" s="15"/>
      <c r="CPD3" s="15"/>
      <c r="CPE3" s="15"/>
      <c r="CPF3" s="15"/>
      <c r="CPG3" s="15"/>
      <c r="CPH3" s="15"/>
      <c r="CPI3" s="15"/>
      <c r="CPJ3" s="15"/>
      <c r="CPK3" s="15"/>
      <c r="CPL3" s="15"/>
      <c r="CPM3" s="15"/>
      <c r="CPN3" s="15"/>
      <c r="CPO3" s="15"/>
      <c r="CPP3" s="15"/>
      <c r="CPQ3" s="15"/>
      <c r="CPR3" s="15"/>
      <c r="CPS3" s="15"/>
      <c r="CPT3" s="15"/>
      <c r="CPU3" s="15"/>
      <c r="CPV3" s="15"/>
      <c r="CPW3" s="15"/>
      <c r="CPX3" s="15"/>
      <c r="CPY3" s="15"/>
      <c r="CPZ3" s="15"/>
      <c r="CQA3" s="15"/>
      <c r="CQB3" s="15"/>
      <c r="CQC3" s="15"/>
      <c r="CQD3" s="15"/>
      <c r="CQE3" s="15"/>
      <c r="CQF3" s="15"/>
      <c r="CQG3" s="15"/>
      <c r="CQH3" s="15"/>
      <c r="CQI3" s="15"/>
      <c r="CQJ3" s="15"/>
      <c r="CQK3" s="15"/>
      <c r="CQL3" s="15"/>
      <c r="CQM3" s="15"/>
      <c r="CQN3" s="15"/>
      <c r="CQO3" s="15"/>
      <c r="CQP3" s="15"/>
      <c r="CQQ3" s="15"/>
      <c r="CQR3" s="15"/>
      <c r="CQS3" s="15"/>
      <c r="CQT3" s="15"/>
      <c r="CQU3" s="15"/>
      <c r="CQV3" s="15"/>
      <c r="CQW3" s="15"/>
      <c r="CQX3" s="15"/>
      <c r="CQY3" s="15"/>
      <c r="CQZ3" s="15"/>
      <c r="CRA3" s="15"/>
      <c r="CRB3" s="15"/>
      <c r="CRC3" s="15"/>
      <c r="CRD3" s="15"/>
      <c r="CRE3" s="15"/>
      <c r="CRF3" s="15"/>
      <c r="CRG3" s="15"/>
      <c r="CRH3" s="15"/>
      <c r="CRI3" s="15"/>
      <c r="CRJ3" s="15"/>
      <c r="CRK3" s="15"/>
      <c r="CRL3" s="15"/>
      <c r="CRM3" s="15"/>
      <c r="CRN3" s="15"/>
      <c r="CRO3" s="15"/>
      <c r="CRP3" s="15"/>
      <c r="CRQ3" s="15"/>
      <c r="CRR3" s="15"/>
      <c r="CRS3" s="15"/>
      <c r="CRT3" s="15"/>
      <c r="CRU3" s="15"/>
      <c r="CRV3" s="15"/>
      <c r="CRW3" s="15"/>
      <c r="CRX3" s="15"/>
      <c r="CRY3" s="15"/>
      <c r="CRZ3" s="15"/>
      <c r="CSA3" s="15"/>
      <c r="CSB3" s="15"/>
      <c r="CSC3" s="15"/>
      <c r="CSD3" s="15"/>
      <c r="CSE3" s="15"/>
      <c r="CSF3" s="15"/>
      <c r="CSG3" s="15"/>
      <c r="CSH3" s="15"/>
      <c r="CSI3" s="15"/>
      <c r="CSJ3" s="15"/>
      <c r="CSK3" s="15"/>
      <c r="CSL3" s="15"/>
      <c r="CSM3" s="15"/>
      <c r="CSN3" s="15"/>
      <c r="CSO3" s="15"/>
      <c r="CSP3" s="15"/>
      <c r="CSQ3" s="15"/>
      <c r="CSR3" s="15"/>
      <c r="CSS3" s="15"/>
      <c r="CST3" s="15"/>
      <c r="CSU3" s="15"/>
      <c r="CSV3" s="15"/>
      <c r="CSW3" s="15"/>
      <c r="CSX3" s="15"/>
      <c r="CSY3" s="15"/>
      <c r="CSZ3" s="15"/>
      <c r="CTA3" s="15"/>
      <c r="CTB3" s="15"/>
      <c r="CTC3" s="15"/>
      <c r="CTD3" s="15"/>
      <c r="CTE3" s="15"/>
      <c r="CTF3" s="15"/>
      <c r="CTG3" s="15"/>
      <c r="CTH3" s="15"/>
      <c r="CTI3" s="15"/>
      <c r="CTJ3" s="15"/>
      <c r="CTK3" s="15"/>
      <c r="CTL3" s="15"/>
      <c r="CTM3" s="15"/>
      <c r="CTN3" s="15"/>
      <c r="CTO3" s="15"/>
      <c r="CTP3" s="15"/>
      <c r="CTQ3" s="15"/>
      <c r="CTR3" s="15"/>
      <c r="CTS3" s="15"/>
      <c r="CTT3" s="15"/>
      <c r="CTU3" s="15"/>
      <c r="CTV3" s="15"/>
      <c r="CTW3" s="15"/>
      <c r="CTX3" s="15"/>
      <c r="CTY3" s="15"/>
      <c r="CTZ3" s="15"/>
      <c r="CUA3" s="15"/>
      <c r="CUB3" s="15"/>
      <c r="CUC3" s="15"/>
      <c r="CUD3" s="15"/>
      <c r="CUE3" s="15"/>
      <c r="CUF3" s="15"/>
      <c r="CUG3" s="15"/>
      <c r="CUH3" s="15"/>
      <c r="CUI3" s="15"/>
      <c r="CUJ3" s="15"/>
      <c r="CUK3" s="15"/>
      <c r="CUL3" s="15"/>
      <c r="CUM3" s="15"/>
      <c r="CUN3" s="15"/>
      <c r="CUO3" s="15"/>
      <c r="CUP3" s="15"/>
      <c r="CUQ3" s="15"/>
      <c r="CUR3" s="15"/>
      <c r="CUS3" s="15"/>
      <c r="CUT3" s="15"/>
      <c r="CUU3" s="15"/>
      <c r="CUV3" s="15"/>
      <c r="CUW3" s="15"/>
      <c r="CUX3" s="15"/>
      <c r="CUY3" s="15"/>
      <c r="CUZ3" s="15"/>
      <c r="CVA3" s="15"/>
      <c r="CVB3" s="15"/>
      <c r="CVC3" s="15"/>
      <c r="CVD3" s="15"/>
      <c r="CVE3" s="15"/>
      <c r="CVF3" s="15"/>
      <c r="CVG3" s="15"/>
      <c r="CVH3" s="15"/>
      <c r="CVI3" s="15"/>
      <c r="CVJ3" s="15"/>
      <c r="CVK3" s="15"/>
      <c r="CVL3" s="15"/>
      <c r="CVM3" s="15"/>
      <c r="CVN3" s="15"/>
      <c r="CVO3" s="15"/>
      <c r="CVP3" s="15"/>
      <c r="CVQ3" s="15"/>
      <c r="CVR3" s="15"/>
      <c r="CVS3" s="15"/>
      <c r="CVT3" s="15"/>
      <c r="CVU3" s="15"/>
      <c r="CVV3" s="15"/>
      <c r="CVW3" s="15"/>
      <c r="CVX3" s="15"/>
      <c r="CVY3" s="15"/>
      <c r="CVZ3" s="15"/>
      <c r="CWA3" s="15"/>
      <c r="CWB3" s="15"/>
      <c r="CWC3" s="15"/>
      <c r="CWD3" s="15"/>
      <c r="CWE3" s="15"/>
      <c r="CWF3" s="15"/>
      <c r="CWG3" s="15"/>
      <c r="CWH3" s="15"/>
      <c r="CWI3" s="15"/>
      <c r="CWJ3" s="15"/>
      <c r="CWK3" s="15"/>
      <c r="CWL3" s="15"/>
      <c r="CWM3" s="15"/>
      <c r="CWN3" s="15"/>
      <c r="CWO3" s="15"/>
      <c r="CWP3" s="15"/>
      <c r="CWQ3" s="15"/>
      <c r="CWR3" s="15"/>
      <c r="CWS3" s="15"/>
      <c r="CWT3" s="15"/>
      <c r="CWU3" s="15"/>
      <c r="CWV3" s="15"/>
      <c r="CWW3" s="15"/>
      <c r="CWX3" s="15"/>
      <c r="CWY3" s="15"/>
      <c r="CWZ3" s="15"/>
      <c r="CXA3" s="15"/>
      <c r="CXB3" s="15"/>
      <c r="CXC3" s="15"/>
      <c r="CXD3" s="15"/>
      <c r="CXE3" s="15"/>
      <c r="CXF3" s="15"/>
      <c r="CXG3" s="15"/>
      <c r="CXH3" s="15"/>
      <c r="CXI3" s="15"/>
      <c r="CXJ3" s="15"/>
      <c r="CXK3" s="15"/>
      <c r="CXL3" s="15"/>
      <c r="CXM3" s="15"/>
      <c r="CXN3" s="15"/>
      <c r="CXO3" s="15"/>
      <c r="CXP3" s="15"/>
      <c r="CXQ3" s="15"/>
      <c r="CXR3" s="15"/>
      <c r="CXS3" s="15"/>
      <c r="CXT3" s="15"/>
      <c r="CXU3" s="15"/>
      <c r="CXV3" s="15"/>
      <c r="CXW3" s="15"/>
      <c r="CXX3" s="15"/>
      <c r="CXY3" s="15"/>
      <c r="CXZ3" s="15"/>
      <c r="CYA3" s="15"/>
      <c r="CYB3" s="15"/>
      <c r="CYC3" s="15"/>
      <c r="CYD3" s="15"/>
      <c r="CYE3" s="15"/>
      <c r="CYF3" s="15"/>
      <c r="CYG3" s="15"/>
      <c r="CYH3" s="15"/>
      <c r="CYI3" s="15"/>
      <c r="CYJ3" s="15"/>
      <c r="CYK3" s="15"/>
      <c r="CYL3" s="15"/>
      <c r="CYM3" s="15"/>
      <c r="CYN3" s="15"/>
      <c r="CYO3" s="15"/>
      <c r="CYP3" s="15"/>
      <c r="CYQ3" s="15"/>
      <c r="CYR3" s="15"/>
      <c r="CYS3" s="15"/>
      <c r="CYT3" s="15"/>
      <c r="CYU3" s="15"/>
      <c r="CYV3" s="15"/>
      <c r="CYW3" s="15"/>
      <c r="CYX3" s="15"/>
      <c r="CYY3" s="15"/>
      <c r="CYZ3" s="15"/>
      <c r="CZA3" s="15"/>
      <c r="CZB3" s="15"/>
      <c r="CZC3" s="15"/>
      <c r="CZD3" s="15"/>
      <c r="CZE3" s="15"/>
      <c r="CZF3" s="15"/>
      <c r="CZG3" s="15"/>
      <c r="CZH3" s="15"/>
      <c r="CZI3" s="15"/>
      <c r="CZJ3" s="15"/>
      <c r="CZK3" s="15"/>
      <c r="CZL3" s="15"/>
      <c r="CZM3" s="15"/>
      <c r="CZN3" s="15"/>
      <c r="CZO3" s="15"/>
      <c r="CZP3" s="15"/>
      <c r="CZQ3" s="15"/>
      <c r="CZR3" s="15"/>
      <c r="CZS3" s="15"/>
      <c r="CZT3" s="15"/>
      <c r="CZU3" s="15"/>
      <c r="CZV3" s="15"/>
      <c r="CZW3" s="15"/>
      <c r="CZX3" s="15"/>
      <c r="CZY3" s="15"/>
      <c r="CZZ3" s="15"/>
      <c r="DAA3" s="15"/>
      <c r="DAB3" s="15"/>
      <c r="DAC3" s="15"/>
      <c r="DAD3" s="15"/>
      <c r="DAE3" s="15"/>
      <c r="DAF3" s="15"/>
      <c r="DAG3" s="15"/>
      <c r="DAH3" s="15"/>
      <c r="DAI3" s="15"/>
      <c r="DAJ3" s="15"/>
      <c r="DAK3" s="15"/>
      <c r="DAL3" s="15"/>
      <c r="DAM3" s="15"/>
      <c r="DAN3" s="15"/>
      <c r="DAO3" s="15"/>
      <c r="DAP3" s="15"/>
      <c r="DAQ3" s="15"/>
      <c r="DAR3" s="15"/>
      <c r="DAS3" s="15"/>
      <c r="DAT3" s="15"/>
      <c r="DAU3" s="15"/>
      <c r="DAV3" s="15"/>
      <c r="DAW3" s="15"/>
      <c r="DAX3" s="15"/>
      <c r="DAY3" s="15"/>
      <c r="DAZ3" s="15"/>
      <c r="DBA3" s="15"/>
      <c r="DBB3" s="15"/>
      <c r="DBC3" s="15"/>
      <c r="DBD3" s="15"/>
      <c r="DBE3" s="15"/>
      <c r="DBF3" s="15"/>
      <c r="DBG3" s="15"/>
      <c r="DBH3" s="15"/>
      <c r="DBI3" s="15"/>
      <c r="DBJ3" s="15"/>
      <c r="DBK3" s="15"/>
      <c r="DBL3" s="15"/>
      <c r="DBM3" s="15"/>
      <c r="DBN3" s="15"/>
      <c r="DBO3" s="15"/>
      <c r="DBP3" s="15"/>
      <c r="DBQ3" s="15"/>
      <c r="DBR3" s="15"/>
      <c r="DBS3" s="15"/>
      <c r="DBT3" s="15"/>
      <c r="DBU3" s="15"/>
      <c r="DBV3" s="15"/>
      <c r="DBW3" s="15"/>
      <c r="DBX3" s="15"/>
      <c r="DBY3" s="15"/>
      <c r="DBZ3" s="15"/>
      <c r="DCA3" s="15"/>
      <c r="DCB3" s="15"/>
      <c r="DCC3" s="15"/>
      <c r="DCD3" s="15"/>
      <c r="DCE3" s="15"/>
      <c r="DCF3" s="15"/>
      <c r="DCG3" s="15"/>
      <c r="DCH3" s="15"/>
      <c r="DCI3" s="15"/>
      <c r="DCJ3" s="15"/>
      <c r="DCK3" s="15"/>
      <c r="DCL3" s="15"/>
      <c r="DCM3" s="15"/>
      <c r="DCN3" s="15"/>
      <c r="DCO3" s="15"/>
      <c r="DCP3" s="15"/>
      <c r="DCQ3" s="15"/>
      <c r="DCR3" s="15"/>
      <c r="DCS3" s="15"/>
      <c r="DCT3" s="15"/>
      <c r="DCU3" s="15"/>
      <c r="DCV3" s="15"/>
      <c r="DCW3" s="15"/>
      <c r="DCX3" s="15"/>
      <c r="DCY3" s="15"/>
      <c r="DCZ3" s="15"/>
      <c r="DDA3" s="15"/>
      <c r="DDB3" s="15"/>
      <c r="DDC3" s="15"/>
      <c r="DDD3" s="15"/>
      <c r="DDE3" s="15"/>
      <c r="DDF3" s="15"/>
      <c r="DDG3" s="15"/>
      <c r="DDH3" s="15"/>
      <c r="DDI3" s="15"/>
      <c r="DDJ3" s="15"/>
      <c r="DDK3" s="15"/>
      <c r="DDL3" s="15"/>
      <c r="DDM3" s="15"/>
      <c r="DDN3" s="15"/>
      <c r="DDO3" s="15"/>
      <c r="DDP3" s="15"/>
      <c r="DDQ3" s="15"/>
      <c r="DDR3" s="15"/>
      <c r="DDS3" s="15"/>
      <c r="DDT3" s="15"/>
      <c r="DDU3" s="15"/>
      <c r="DDV3" s="15"/>
      <c r="DDW3" s="15"/>
      <c r="DDX3" s="15"/>
      <c r="DDY3" s="15"/>
      <c r="DDZ3" s="15"/>
      <c r="DEA3" s="15"/>
      <c r="DEB3" s="15"/>
      <c r="DEC3" s="15"/>
      <c r="DED3" s="15"/>
      <c r="DEE3" s="15"/>
      <c r="DEF3" s="15"/>
      <c r="DEG3" s="15"/>
      <c r="DEH3" s="15"/>
      <c r="DEI3" s="15"/>
      <c r="DEJ3" s="15"/>
      <c r="DEK3" s="15"/>
      <c r="DEL3" s="15"/>
      <c r="DEM3" s="15"/>
      <c r="DEN3" s="15"/>
      <c r="DEO3" s="15"/>
      <c r="DEP3" s="15"/>
      <c r="DEQ3" s="15"/>
      <c r="DER3" s="15"/>
      <c r="DES3" s="15"/>
      <c r="DET3" s="15"/>
      <c r="DEU3" s="15"/>
      <c r="DEV3" s="15"/>
      <c r="DEW3" s="15"/>
      <c r="DEX3" s="15"/>
      <c r="DEY3" s="15"/>
      <c r="DEZ3" s="15"/>
      <c r="DFA3" s="15"/>
      <c r="DFB3" s="15"/>
      <c r="DFC3" s="15"/>
      <c r="DFD3" s="15"/>
      <c r="DFE3" s="15"/>
      <c r="DFF3" s="15"/>
      <c r="DFG3" s="15"/>
      <c r="DFH3" s="15"/>
      <c r="DFI3" s="15"/>
      <c r="DFJ3" s="15"/>
      <c r="DFK3" s="15"/>
      <c r="DFL3" s="15"/>
      <c r="DFM3" s="15"/>
      <c r="DFN3" s="15"/>
      <c r="DFO3" s="15"/>
      <c r="DFP3" s="15"/>
      <c r="DFQ3" s="15"/>
      <c r="DFR3" s="15"/>
      <c r="DFS3" s="15"/>
      <c r="DFT3" s="15"/>
      <c r="DFU3" s="15"/>
      <c r="DFV3" s="15"/>
      <c r="DFW3" s="15"/>
      <c r="DFX3" s="15"/>
      <c r="DFY3" s="15"/>
      <c r="DFZ3" s="15"/>
      <c r="DGA3" s="15"/>
      <c r="DGB3" s="15"/>
      <c r="DGC3" s="15"/>
      <c r="DGD3" s="15"/>
      <c r="DGE3" s="15"/>
      <c r="DGF3" s="15"/>
      <c r="DGG3" s="15"/>
      <c r="DGH3" s="15"/>
      <c r="DGI3" s="15"/>
      <c r="DGJ3" s="15"/>
      <c r="DGK3" s="15"/>
      <c r="DGL3" s="15"/>
      <c r="DGM3" s="15"/>
      <c r="DGN3" s="15"/>
      <c r="DGO3" s="15"/>
      <c r="DGP3" s="15"/>
      <c r="DGQ3" s="15"/>
      <c r="DGR3" s="15"/>
      <c r="DGS3" s="15"/>
      <c r="DGT3" s="15"/>
      <c r="DGU3" s="15"/>
      <c r="DGV3" s="15"/>
      <c r="DGW3" s="15"/>
      <c r="DGX3" s="15"/>
      <c r="DGY3" s="15"/>
      <c r="DGZ3" s="15"/>
      <c r="DHA3" s="15"/>
      <c r="DHB3" s="15"/>
      <c r="DHC3" s="15"/>
      <c r="DHD3" s="15"/>
      <c r="DHE3" s="15"/>
      <c r="DHF3" s="15"/>
      <c r="DHG3" s="15"/>
      <c r="DHH3" s="15"/>
      <c r="DHI3" s="15"/>
      <c r="DHJ3" s="15"/>
      <c r="DHK3" s="15"/>
      <c r="DHL3" s="15"/>
      <c r="DHM3" s="15"/>
      <c r="DHN3" s="15"/>
      <c r="DHO3" s="15"/>
      <c r="DHP3" s="15"/>
      <c r="DHQ3" s="15"/>
      <c r="DHR3" s="15"/>
      <c r="DHS3" s="15"/>
      <c r="DHT3" s="15"/>
      <c r="DHU3" s="15"/>
      <c r="DHV3" s="15"/>
      <c r="DHW3" s="15"/>
      <c r="DHX3" s="15"/>
      <c r="DHY3" s="15"/>
      <c r="DHZ3" s="15"/>
      <c r="DIA3" s="15"/>
      <c r="DIB3" s="15"/>
      <c r="DIC3" s="15"/>
      <c r="DID3" s="15"/>
      <c r="DIE3" s="15"/>
      <c r="DIF3" s="15"/>
      <c r="DIG3" s="15"/>
      <c r="DIH3" s="15"/>
      <c r="DII3" s="15"/>
      <c r="DIJ3" s="15"/>
      <c r="DIK3" s="15"/>
      <c r="DIL3" s="15"/>
      <c r="DIM3" s="15"/>
      <c r="DIN3" s="15"/>
      <c r="DIO3" s="15"/>
      <c r="DIP3" s="15"/>
      <c r="DIQ3" s="15"/>
      <c r="DIR3" s="15"/>
      <c r="DIS3" s="15"/>
      <c r="DIT3" s="15"/>
      <c r="DIU3" s="15"/>
      <c r="DIV3" s="15"/>
      <c r="DIW3" s="15"/>
      <c r="DIX3" s="15"/>
      <c r="DIY3" s="15"/>
      <c r="DIZ3" s="15"/>
      <c r="DJA3" s="15"/>
      <c r="DJB3" s="15"/>
      <c r="DJC3" s="15"/>
      <c r="DJD3" s="15"/>
      <c r="DJE3" s="15"/>
      <c r="DJF3" s="15"/>
      <c r="DJG3" s="15"/>
      <c r="DJH3" s="15"/>
      <c r="DJI3" s="15"/>
      <c r="DJJ3" s="15"/>
      <c r="DJK3" s="15"/>
      <c r="DJL3" s="15"/>
      <c r="DJM3" s="15"/>
      <c r="DJN3" s="15"/>
      <c r="DJO3" s="15"/>
      <c r="DJP3" s="15"/>
      <c r="DJQ3" s="15"/>
      <c r="DJR3" s="15"/>
      <c r="DJS3" s="15"/>
      <c r="DJT3" s="15"/>
      <c r="DJU3" s="15"/>
      <c r="DJV3" s="15"/>
      <c r="DJW3" s="15"/>
      <c r="DJX3" s="15"/>
      <c r="DJY3" s="15"/>
      <c r="DJZ3" s="15"/>
      <c r="DKA3" s="15"/>
      <c r="DKB3" s="15"/>
      <c r="DKC3" s="15"/>
      <c r="DKD3" s="15"/>
      <c r="DKE3" s="15"/>
      <c r="DKF3" s="15"/>
      <c r="DKG3" s="15"/>
      <c r="DKH3" s="15"/>
      <c r="DKI3" s="15"/>
      <c r="DKJ3" s="15"/>
      <c r="DKK3" s="15"/>
      <c r="DKL3" s="15"/>
      <c r="DKM3" s="15"/>
      <c r="DKN3" s="15"/>
      <c r="DKO3" s="15"/>
      <c r="DKP3" s="15"/>
      <c r="DKQ3" s="15"/>
      <c r="DKR3" s="15"/>
      <c r="DKS3" s="15"/>
      <c r="DKT3" s="15"/>
      <c r="DKU3" s="15"/>
      <c r="DKV3" s="15"/>
      <c r="DKW3" s="15"/>
      <c r="DKX3" s="15"/>
      <c r="DKY3" s="15"/>
      <c r="DKZ3" s="15"/>
      <c r="DLA3" s="15"/>
      <c r="DLB3" s="15"/>
      <c r="DLC3" s="15"/>
      <c r="DLD3" s="15"/>
      <c r="DLE3" s="15"/>
      <c r="DLF3" s="15"/>
      <c r="DLG3" s="15"/>
      <c r="DLH3" s="15"/>
      <c r="DLI3" s="15"/>
      <c r="DLJ3" s="15"/>
      <c r="DLK3" s="15"/>
      <c r="DLL3" s="15"/>
      <c r="DLM3" s="15"/>
      <c r="DLN3" s="15"/>
      <c r="DLO3" s="15"/>
      <c r="DLP3" s="15"/>
      <c r="DLQ3" s="15"/>
      <c r="DLR3" s="15"/>
      <c r="DLS3" s="15"/>
      <c r="DLT3" s="15"/>
      <c r="DLU3" s="15"/>
      <c r="DLV3" s="15"/>
      <c r="DLW3" s="15"/>
      <c r="DLX3" s="15"/>
      <c r="DLY3" s="15"/>
      <c r="DLZ3" s="15"/>
      <c r="DMA3" s="15"/>
      <c r="DMB3" s="15"/>
      <c r="DMC3" s="15"/>
      <c r="DMD3" s="15"/>
      <c r="DME3" s="15"/>
      <c r="DMF3" s="15"/>
      <c r="DMG3" s="15"/>
      <c r="DMH3" s="15"/>
      <c r="DMI3" s="15"/>
      <c r="DMJ3" s="15"/>
      <c r="DMK3" s="15"/>
      <c r="DML3" s="15"/>
      <c r="DMM3" s="15"/>
      <c r="DMN3" s="15"/>
      <c r="DMO3" s="15"/>
      <c r="DMP3" s="15"/>
      <c r="DMQ3" s="15"/>
      <c r="DMR3" s="15"/>
      <c r="DMS3" s="15"/>
      <c r="DMT3" s="15"/>
      <c r="DMU3" s="15"/>
      <c r="DMV3" s="15"/>
      <c r="DMW3" s="15"/>
      <c r="DMX3" s="15"/>
      <c r="DMY3" s="15"/>
      <c r="DMZ3" s="15"/>
      <c r="DNA3" s="15"/>
      <c r="DNB3" s="15"/>
      <c r="DNC3" s="15"/>
      <c r="DND3" s="15"/>
      <c r="DNE3" s="15"/>
      <c r="DNF3" s="15"/>
      <c r="DNG3" s="15"/>
      <c r="DNH3" s="15"/>
      <c r="DNI3" s="15"/>
      <c r="DNJ3" s="15"/>
      <c r="DNK3" s="15"/>
      <c r="DNL3" s="15"/>
      <c r="DNM3" s="15"/>
      <c r="DNN3" s="15"/>
      <c r="DNO3" s="15"/>
      <c r="DNP3" s="15"/>
      <c r="DNQ3" s="15"/>
      <c r="DNR3" s="15"/>
      <c r="DNS3" s="15"/>
      <c r="DNT3" s="15"/>
      <c r="DNU3" s="15"/>
      <c r="DNV3" s="15"/>
      <c r="DNW3" s="15"/>
      <c r="DNX3" s="15"/>
      <c r="DNY3" s="15"/>
      <c r="DNZ3" s="15"/>
      <c r="DOA3" s="15"/>
      <c r="DOB3" s="15"/>
      <c r="DOC3" s="15"/>
      <c r="DOD3" s="15"/>
      <c r="DOE3" s="15"/>
      <c r="DOF3" s="15"/>
      <c r="DOG3" s="15"/>
      <c r="DOH3" s="15"/>
      <c r="DOI3" s="15"/>
      <c r="DOJ3" s="15"/>
      <c r="DOK3" s="15"/>
      <c r="DOL3" s="15"/>
      <c r="DOM3" s="15"/>
      <c r="DON3" s="15"/>
      <c r="DOO3" s="15"/>
      <c r="DOP3" s="15"/>
      <c r="DOQ3" s="15"/>
      <c r="DOR3" s="15"/>
      <c r="DOS3" s="15"/>
      <c r="DOT3" s="15"/>
      <c r="DOU3" s="15"/>
      <c r="DOV3" s="15"/>
      <c r="DOW3" s="15"/>
      <c r="DOX3" s="15"/>
      <c r="DOY3" s="15"/>
      <c r="DOZ3" s="15"/>
      <c r="DPA3" s="15"/>
      <c r="DPB3" s="15"/>
      <c r="DPC3" s="15"/>
      <c r="DPD3" s="15"/>
      <c r="DPE3" s="15"/>
      <c r="DPF3" s="15"/>
      <c r="DPG3" s="15"/>
      <c r="DPH3" s="15"/>
      <c r="DPI3" s="15"/>
      <c r="DPJ3" s="15"/>
      <c r="DPK3" s="15"/>
      <c r="DPL3" s="15"/>
      <c r="DPM3" s="15"/>
      <c r="DPN3" s="15"/>
      <c r="DPO3" s="15"/>
      <c r="DPP3" s="15"/>
      <c r="DPQ3" s="15"/>
      <c r="DPR3" s="15"/>
      <c r="DPS3" s="15"/>
      <c r="DPT3" s="15"/>
      <c r="DPU3" s="15"/>
      <c r="DPV3" s="15"/>
      <c r="DPW3" s="15"/>
      <c r="DPX3" s="15"/>
      <c r="DPY3" s="15"/>
      <c r="DPZ3" s="15"/>
      <c r="DQA3" s="15"/>
      <c r="DQB3" s="15"/>
      <c r="DQC3" s="15"/>
      <c r="DQD3" s="15"/>
      <c r="DQE3" s="15"/>
      <c r="DQF3" s="15"/>
      <c r="DQG3" s="15"/>
      <c r="DQH3" s="15"/>
      <c r="DQI3" s="15"/>
      <c r="DQJ3" s="15"/>
      <c r="DQK3" s="15"/>
      <c r="DQL3" s="15"/>
      <c r="DQM3" s="15"/>
      <c r="DQN3" s="15"/>
      <c r="DQO3" s="15"/>
      <c r="DQP3" s="15"/>
      <c r="DQQ3" s="15"/>
      <c r="DQR3" s="15"/>
      <c r="DQS3" s="15"/>
      <c r="DQT3" s="15"/>
      <c r="DQU3" s="15"/>
      <c r="DQV3" s="15"/>
      <c r="DQW3" s="15"/>
      <c r="DQX3" s="15"/>
      <c r="DQY3" s="15"/>
      <c r="DQZ3" s="15"/>
      <c r="DRA3" s="15"/>
      <c r="DRB3" s="15"/>
      <c r="DRC3" s="15"/>
      <c r="DRD3" s="15"/>
      <c r="DRE3" s="15"/>
      <c r="DRF3" s="15"/>
      <c r="DRG3" s="15"/>
      <c r="DRH3" s="15"/>
      <c r="DRI3" s="15"/>
      <c r="DRJ3" s="15"/>
      <c r="DRK3" s="15"/>
      <c r="DRL3" s="15"/>
      <c r="DRM3" s="15"/>
      <c r="DRN3" s="15"/>
      <c r="DRO3" s="15"/>
      <c r="DRP3" s="15"/>
      <c r="DRQ3" s="15"/>
      <c r="DRR3" s="15"/>
      <c r="DRS3" s="15"/>
      <c r="DRT3" s="15"/>
      <c r="DRU3" s="15"/>
      <c r="DRV3" s="15"/>
      <c r="DRW3" s="15"/>
      <c r="DRX3" s="15"/>
      <c r="DRY3" s="15"/>
      <c r="DRZ3" s="15"/>
      <c r="DSA3" s="15"/>
      <c r="DSB3" s="15"/>
      <c r="DSC3" s="15"/>
      <c r="DSD3" s="15"/>
      <c r="DSE3" s="15"/>
      <c r="DSF3" s="15"/>
      <c r="DSG3" s="15"/>
      <c r="DSH3" s="15"/>
      <c r="DSI3" s="15"/>
      <c r="DSJ3" s="15"/>
      <c r="DSK3" s="15"/>
      <c r="DSL3" s="15"/>
      <c r="DSM3" s="15"/>
      <c r="DSN3" s="15"/>
      <c r="DSO3" s="15"/>
      <c r="DSP3" s="15"/>
      <c r="DSQ3" s="15"/>
      <c r="DSR3" s="15"/>
      <c r="DSS3" s="15"/>
      <c r="DST3" s="15"/>
      <c r="DSU3" s="15"/>
      <c r="DSV3" s="15"/>
      <c r="DSW3" s="15"/>
      <c r="DSX3" s="15"/>
      <c r="DSY3" s="15"/>
      <c r="DSZ3" s="15"/>
      <c r="DTA3" s="15"/>
      <c r="DTB3" s="15"/>
      <c r="DTC3" s="15"/>
      <c r="DTD3" s="15"/>
      <c r="DTE3" s="15"/>
      <c r="DTF3" s="15"/>
      <c r="DTG3" s="15"/>
      <c r="DTH3" s="15"/>
      <c r="DTI3" s="15"/>
      <c r="DTJ3" s="15"/>
      <c r="DTK3" s="15"/>
      <c r="DTL3" s="15"/>
      <c r="DTM3" s="15"/>
      <c r="DTN3" s="15"/>
      <c r="DTO3" s="15"/>
      <c r="DTP3" s="15"/>
      <c r="DTQ3" s="15"/>
      <c r="DTR3" s="15"/>
      <c r="DTS3" s="15"/>
      <c r="DTT3" s="15"/>
      <c r="DTU3" s="15"/>
      <c r="DTV3" s="15"/>
      <c r="DTW3" s="15"/>
      <c r="DTX3" s="15"/>
      <c r="DTY3" s="15"/>
      <c r="DTZ3" s="15"/>
      <c r="DUA3" s="15"/>
      <c r="DUB3" s="15"/>
      <c r="DUC3" s="15"/>
      <c r="DUD3" s="15"/>
      <c r="DUE3" s="15"/>
      <c r="DUF3" s="15"/>
      <c r="DUG3" s="15"/>
      <c r="DUH3" s="15"/>
      <c r="DUI3" s="15"/>
      <c r="DUJ3" s="15"/>
      <c r="DUK3" s="15"/>
      <c r="DUL3" s="15"/>
      <c r="DUM3" s="15"/>
      <c r="DUN3" s="15"/>
      <c r="DUO3" s="15"/>
      <c r="DUP3" s="15"/>
      <c r="DUQ3" s="15"/>
      <c r="DUR3" s="15"/>
      <c r="DUS3" s="15"/>
      <c r="DUT3" s="15"/>
      <c r="DUU3" s="15"/>
      <c r="DUV3" s="15"/>
      <c r="DUW3" s="15"/>
      <c r="DUX3" s="15"/>
      <c r="DUY3" s="15"/>
      <c r="DUZ3" s="15"/>
      <c r="DVA3" s="15"/>
      <c r="DVB3" s="15"/>
      <c r="DVC3" s="15"/>
      <c r="DVD3" s="15"/>
      <c r="DVE3" s="15"/>
      <c r="DVF3" s="15"/>
      <c r="DVG3" s="15"/>
      <c r="DVH3" s="15"/>
      <c r="DVI3" s="15"/>
      <c r="DVJ3" s="15"/>
      <c r="DVK3" s="15"/>
      <c r="DVL3" s="15"/>
      <c r="DVM3" s="15"/>
      <c r="DVN3" s="15"/>
      <c r="DVO3" s="15"/>
      <c r="DVP3" s="15"/>
      <c r="DVQ3" s="15"/>
      <c r="DVR3" s="15"/>
      <c r="DVS3" s="15"/>
      <c r="DVT3" s="15"/>
      <c r="DVU3" s="15"/>
      <c r="DVV3" s="15"/>
      <c r="DVW3" s="15"/>
      <c r="DVX3" s="15"/>
      <c r="DVY3" s="15"/>
      <c r="DVZ3" s="15"/>
      <c r="DWA3" s="15"/>
      <c r="DWB3" s="15"/>
      <c r="DWC3" s="15"/>
      <c r="DWD3" s="15"/>
      <c r="DWE3" s="15"/>
      <c r="DWF3" s="15"/>
      <c r="DWG3" s="15"/>
      <c r="DWH3" s="15"/>
      <c r="DWI3" s="15"/>
      <c r="DWJ3" s="15"/>
      <c r="DWK3" s="15"/>
      <c r="DWL3" s="15"/>
      <c r="DWM3" s="15"/>
      <c r="DWN3" s="15"/>
      <c r="DWO3" s="15"/>
      <c r="DWP3" s="15"/>
      <c r="DWQ3" s="15"/>
      <c r="DWR3" s="15"/>
      <c r="DWS3" s="15"/>
      <c r="DWT3" s="15"/>
      <c r="DWU3" s="15"/>
      <c r="DWV3" s="15"/>
      <c r="DWW3" s="15"/>
      <c r="DWX3" s="15"/>
      <c r="DWY3" s="15"/>
      <c r="DWZ3" s="15"/>
      <c r="DXA3" s="15"/>
      <c r="DXB3" s="15"/>
      <c r="DXC3" s="15"/>
      <c r="DXD3" s="15"/>
      <c r="DXE3" s="15"/>
      <c r="DXF3" s="15"/>
      <c r="DXG3" s="15"/>
      <c r="DXH3" s="15"/>
      <c r="DXI3" s="15"/>
      <c r="DXJ3" s="15"/>
      <c r="DXK3" s="15"/>
      <c r="DXL3" s="15"/>
      <c r="DXM3" s="15"/>
      <c r="DXN3" s="15"/>
      <c r="DXO3" s="15"/>
      <c r="DXP3" s="15"/>
      <c r="DXQ3" s="15"/>
      <c r="DXR3" s="15"/>
      <c r="DXS3" s="15"/>
      <c r="DXT3" s="15"/>
      <c r="DXU3" s="15"/>
      <c r="DXV3" s="15"/>
      <c r="DXW3" s="15"/>
      <c r="DXX3" s="15"/>
      <c r="DXY3" s="15"/>
      <c r="DXZ3" s="15"/>
      <c r="DYA3" s="15"/>
      <c r="DYB3" s="15"/>
      <c r="DYC3" s="15"/>
      <c r="DYD3" s="15"/>
      <c r="DYE3" s="15"/>
      <c r="DYF3" s="15"/>
      <c r="DYG3" s="15"/>
      <c r="DYH3" s="15"/>
      <c r="DYI3" s="15"/>
      <c r="DYJ3" s="15"/>
      <c r="DYK3" s="15"/>
      <c r="DYL3" s="15"/>
      <c r="DYM3" s="15"/>
      <c r="DYN3" s="15"/>
      <c r="DYO3" s="15"/>
      <c r="DYP3" s="15"/>
      <c r="DYQ3" s="15"/>
      <c r="DYR3" s="15"/>
      <c r="DYS3" s="15"/>
      <c r="DYT3" s="15"/>
      <c r="DYU3" s="15"/>
      <c r="DYV3" s="15"/>
      <c r="DYW3" s="15"/>
      <c r="DYX3" s="15"/>
      <c r="DYY3" s="15"/>
      <c r="DYZ3" s="15"/>
      <c r="DZA3" s="15"/>
      <c r="DZB3" s="15"/>
      <c r="DZC3" s="15"/>
      <c r="DZD3" s="15"/>
      <c r="DZE3" s="15"/>
      <c r="DZF3" s="15"/>
      <c r="DZG3" s="15"/>
      <c r="DZH3" s="15"/>
      <c r="DZI3" s="15"/>
      <c r="DZJ3" s="15"/>
      <c r="DZK3" s="15"/>
      <c r="DZL3" s="15"/>
      <c r="DZM3" s="15"/>
      <c r="DZN3" s="15"/>
      <c r="DZO3" s="15"/>
      <c r="DZP3" s="15"/>
      <c r="DZQ3" s="15"/>
      <c r="DZR3" s="15"/>
      <c r="DZS3" s="15"/>
      <c r="DZT3" s="15"/>
      <c r="DZU3" s="15"/>
      <c r="DZV3" s="15"/>
      <c r="DZW3" s="15"/>
      <c r="DZX3" s="15"/>
      <c r="DZY3" s="15"/>
      <c r="DZZ3" s="15"/>
      <c r="EAA3" s="15"/>
      <c r="EAB3" s="15"/>
      <c r="EAC3" s="15"/>
      <c r="EAD3" s="15"/>
      <c r="EAE3" s="15"/>
      <c r="EAF3" s="15"/>
      <c r="EAG3" s="15"/>
      <c r="EAH3" s="15"/>
      <c r="EAI3" s="15"/>
      <c r="EAJ3" s="15"/>
      <c r="EAK3" s="15"/>
      <c r="EAL3" s="15"/>
      <c r="EAM3" s="15"/>
      <c r="EAN3" s="15"/>
      <c r="EAO3" s="15"/>
      <c r="EAP3" s="15"/>
      <c r="EAQ3" s="15"/>
      <c r="EAR3" s="15"/>
      <c r="EAS3" s="15"/>
      <c r="EAT3" s="15"/>
      <c r="EAU3" s="15"/>
      <c r="EAV3" s="15"/>
      <c r="EAW3" s="15"/>
      <c r="EAX3" s="15"/>
      <c r="EAY3" s="15"/>
      <c r="EAZ3" s="15"/>
      <c r="EBA3" s="15"/>
      <c r="EBB3" s="15"/>
      <c r="EBC3" s="15"/>
      <c r="EBD3" s="15"/>
      <c r="EBE3" s="15"/>
      <c r="EBF3" s="15"/>
      <c r="EBG3" s="15"/>
      <c r="EBH3" s="15"/>
      <c r="EBI3" s="15"/>
      <c r="EBJ3" s="15"/>
      <c r="EBK3" s="15"/>
      <c r="EBL3" s="15"/>
      <c r="EBM3" s="15"/>
      <c r="EBN3" s="15"/>
      <c r="EBO3" s="15"/>
      <c r="EBP3" s="15"/>
      <c r="EBQ3" s="15"/>
      <c r="EBR3" s="15"/>
      <c r="EBS3" s="15"/>
      <c r="EBT3" s="15"/>
      <c r="EBU3" s="15"/>
      <c r="EBV3" s="15"/>
      <c r="EBW3" s="15"/>
      <c r="EBX3" s="15"/>
      <c r="EBY3" s="15"/>
      <c r="EBZ3" s="15"/>
      <c r="ECA3" s="15"/>
      <c r="ECB3" s="15"/>
      <c r="ECC3" s="15"/>
      <c r="ECD3" s="15"/>
      <c r="ECE3" s="15"/>
      <c r="ECF3" s="15"/>
      <c r="ECG3" s="15"/>
      <c r="ECH3" s="15"/>
      <c r="ECI3" s="15"/>
      <c r="ECJ3" s="15"/>
      <c r="ECK3" s="15"/>
      <c r="ECL3" s="15"/>
      <c r="ECM3" s="15"/>
      <c r="ECN3" s="15"/>
      <c r="ECO3" s="15"/>
      <c r="ECP3" s="15"/>
      <c r="ECQ3" s="15"/>
      <c r="ECR3" s="15"/>
      <c r="ECS3" s="15"/>
      <c r="ECT3" s="15"/>
      <c r="ECU3" s="15"/>
      <c r="ECV3" s="15"/>
      <c r="ECW3" s="15"/>
      <c r="ECX3" s="15"/>
      <c r="ECY3" s="15"/>
      <c r="ECZ3" s="15"/>
      <c r="EDA3" s="15"/>
      <c r="EDB3" s="15"/>
      <c r="EDC3" s="15"/>
      <c r="EDD3" s="15"/>
      <c r="EDE3" s="15"/>
      <c r="EDF3" s="15"/>
      <c r="EDG3" s="15"/>
      <c r="EDH3" s="15"/>
      <c r="EDI3" s="15"/>
      <c r="EDJ3" s="15"/>
      <c r="EDK3" s="15"/>
      <c r="EDL3" s="15"/>
      <c r="EDM3" s="15"/>
      <c r="EDN3" s="15"/>
      <c r="EDO3" s="15"/>
      <c r="EDP3" s="15"/>
      <c r="EDQ3" s="15"/>
      <c r="EDR3" s="15"/>
      <c r="EDS3" s="15"/>
      <c r="EDT3" s="15"/>
      <c r="EDU3" s="15"/>
      <c r="EDV3" s="15"/>
      <c r="EDW3" s="15"/>
      <c r="EDX3" s="15"/>
      <c r="EDY3" s="15"/>
      <c r="EDZ3" s="15"/>
      <c r="EEA3" s="15"/>
      <c r="EEB3" s="15"/>
      <c r="EEC3" s="15"/>
      <c r="EED3" s="15"/>
      <c r="EEE3" s="15"/>
      <c r="EEF3" s="15"/>
      <c r="EEG3" s="15"/>
      <c r="EEH3" s="15"/>
      <c r="EEI3" s="15"/>
      <c r="EEJ3" s="15"/>
      <c r="EEK3" s="15"/>
      <c r="EEL3" s="15"/>
      <c r="EEM3" s="15"/>
      <c r="EEN3" s="15"/>
      <c r="EEO3" s="15"/>
      <c r="EEP3" s="15"/>
      <c r="EEQ3" s="15"/>
      <c r="EER3" s="15"/>
      <c r="EES3" s="15"/>
      <c r="EET3" s="15"/>
      <c r="EEU3" s="15"/>
      <c r="EEV3" s="15"/>
      <c r="EEW3" s="15"/>
      <c r="EEX3" s="15"/>
      <c r="EEY3" s="15"/>
      <c r="EEZ3" s="15"/>
      <c r="EFA3" s="15"/>
      <c r="EFB3" s="15"/>
      <c r="EFC3" s="15"/>
      <c r="EFD3" s="15"/>
      <c r="EFE3" s="15"/>
      <c r="EFF3" s="15"/>
      <c r="EFG3" s="15"/>
      <c r="EFH3" s="15"/>
      <c r="EFI3" s="15"/>
      <c r="EFJ3" s="15"/>
      <c r="EFK3" s="15"/>
      <c r="EFL3" s="15"/>
      <c r="EFM3" s="15"/>
      <c r="EFN3" s="15"/>
      <c r="EFO3" s="15"/>
      <c r="EFP3" s="15"/>
      <c r="EFQ3" s="15"/>
      <c r="EFR3" s="15"/>
      <c r="EFS3" s="15"/>
      <c r="EFT3" s="15"/>
      <c r="EFU3" s="15"/>
      <c r="EFV3" s="15"/>
      <c r="EFW3" s="15"/>
      <c r="EFX3" s="15"/>
      <c r="EFY3" s="15"/>
      <c r="EFZ3" s="15"/>
      <c r="EGA3" s="15"/>
      <c r="EGB3" s="15"/>
      <c r="EGC3" s="15"/>
      <c r="EGD3" s="15"/>
      <c r="EGE3" s="15"/>
      <c r="EGF3" s="15"/>
      <c r="EGG3" s="15"/>
      <c r="EGH3" s="15"/>
      <c r="EGI3" s="15"/>
      <c r="EGJ3" s="15"/>
      <c r="EGK3" s="15"/>
      <c r="EGL3" s="15"/>
      <c r="EGM3" s="15"/>
      <c r="EGN3" s="15"/>
      <c r="EGO3" s="15"/>
      <c r="EGP3" s="15"/>
      <c r="EGQ3" s="15"/>
      <c r="EGR3" s="15"/>
      <c r="EGS3" s="15"/>
      <c r="EGT3" s="15"/>
      <c r="EGU3" s="15"/>
      <c r="EGV3" s="15"/>
      <c r="EGW3" s="15"/>
      <c r="EGX3" s="15"/>
      <c r="EGY3" s="15"/>
      <c r="EGZ3" s="15"/>
      <c r="EHA3" s="15"/>
      <c r="EHB3" s="15"/>
      <c r="EHC3" s="15"/>
      <c r="EHD3" s="15"/>
      <c r="EHE3" s="15"/>
      <c r="EHF3" s="15"/>
      <c r="EHG3" s="15"/>
      <c r="EHH3" s="15"/>
      <c r="EHI3" s="15"/>
      <c r="EHJ3" s="15"/>
      <c r="EHK3" s="15"/>
      <c r="EHL3" s="15"/>
      <c r="EHM3" s="15"/>
      <c r="EHN3" s="15"/>
      <c r="EHO3" s="15"/>
      <c r="EHP3" s="15"/>
      <c r="EHQ3" s="15"/>
      <c r="EHR3" s="15"/>
      <c r="EHS3" s="15"/>
      <c r="EHT3" s="15"/>
      <c r="EHU3" s="15"/>
      <c r="EHV3" s="15"/>
      <c r="EHW3" s="15"/>
      <c r="EHX3" s="15"/>
      <c r="EHY3" s="15"/>
      <c r="EHZ3" s="15"/>
      <c r="EIA3" s="15"/>
      <c r="EIB3" s="15"/>
      <c r="EIC3" s="15"/>
      <c r="EID3" s="15"/>
      <c r="EIE3" s="15"/>
      <c r="EIF3" s="15"/>
      <c r="EIG3" s="15"/>
      <c r="EIH3" s="15"/>
      <c r="EII3" s="15"/>
      <c r="EIJ3" s="15"/>
      <c r="EIK3" s="15"/>
      <c r="EIL3" s="15"/>
      <c r="EIM3" s="15"/>
      <c r="EIN3" s="15"/>
      <c r="EIO3" s="15"/>
      <c r="EIP3" s="15"/>
      <c r="EIQ3" s="15"/>
      <c r="EIR3" s="15"/>
      <c r="EIS3" s="15"/>
      <c r="EIT3" s="15"/>
      <c r="EIU3" s="15"/>
      <c r="EIV3" s="15"/>
      <c r="EIW3" s="15"/>
      <c r="EIX3" s="15"/>
      <c r="EIY3" s="15"/>
      <c r="EIZ3" s="15"/>
      <c r="EJA3" s="15"/>
      <c r="EJB3" s="15"/>
      <c r="EJC3" s="15"/>
      <c r="EJD3" s="15"/>
      <c r="EJE3" s="15"/>
      <c r="EJF3" s="15"/>
      <c r="EJG3" s="15"/>
      <c r="EJH3" s="15"/>
      <c r="EJI3" s="15"/>
      <c r="EJJ3" s="15"/>
      <c r="EJK3" s="15"/>
      <c r="EJL3" s="15"/>
      <c r="EJM3" s="15"/>
      <c r="EJN3" s="15"/>
      <c r="EJO3" s="15"/>
      <c r="EJP3" s="15"/>
      <c r="EJQ3" s="15"/>
      <c r="EJR3" s="15"/>
      <c r="EJS3" s="15"/>
      <c r="EJT3" s="15"/>
      <c r="EJU3" s="15"/>
      <c r="EJV3" s="15"/>
      <c r="EJW3" s="15"/>
      <c r="EJX3" s="15"/>
      <c r="EJY3" s="15"/>
      <c r="EJZ3" s="15"/>
      <c r="EKA3" s="15"/>
      <c r="EKB3" s="15"/>
      <c r="EKC3" s="15"/>
      <c r="EKD3" s="15"/>
      <c r="EKE3" s="15"/>
      <c r="EKF3" s="15"/>
      <c r="EKG3" s="15"/>
      <c r="EKH3" s="15"/>
      <c r="EKI3" s="15"/>
      <c r="EKJ3" s="15"/>
      <c r="EKK3" s="15"/>
      <c r="EKL3" s="15"/>
      <c r="EKM3" s="15"/>
      <c r="EKN3" s="15"/>
      <c r="EKO3" s="15"/>
      <c r="EKP3" s="15"/>
      <c r="EKQ3" s="15"/>
      <c r="EKR3" s="15"/>
      <c r="EKS3" s="15"/>
      <c r="EKT3" s="15"/>
      <c r="EKU3" s="15"/>
      <c r="EKV3" s="15"/>
      <c r="EKW3" s="15"/>
      <c r="EKX3" s="15"/>
      <c r="EKY3" s="15"/>
      <c r="EKZ3" s="15"/>
      <c r="ELA3" s="15"/>
      <c r="ELB3" s="15"/>
      <c r="ELC3" s="15"/>
      <c r="ELD3" s="15"/>
      <c r="ELE3" s="15"/>
      <c r="ELF3" s="15"/>
      <c r="ELG3" s="15"/>
      <c r="ELH3" s="15"/>
      <c r="ELI3" s="15"/>
      <c r="ELJ3" s="15"/>
      <c r="ELK3" s="15"/>
      <c r="ELL3" s="15"/>
      <c r="ELM3" s="15"/>
      <c r="ELN3" s="15"/>
      <c r="ELO3" s="15"/>
      <c r="ELP3" s="15"/>
      <c r="ELQ3" s="15"/>
      <c r="ELR3" s="15"/>
      <c r="ELS3" s="15"/>
      <c r="ELT3" s="15"/>
      <c r="ELU3" s="15"/>
      <c r="ELV3" s="15"/>
      <c r="ELW3" s="15"/>
      <c r="ELX3" s="15"/>
      <c r="ELY3" s="15"/>
      <c r="ELZ3" s="15"/>
      <c r="EMA3" s="15"/>
      <c r="EMB3" s="15"/>
      <c r="EMC3" s="15"/>
      <c r="EMD3" s="15"/>
      <c r="EME3" s="15"/>
      <c r="EMF3" s="15"/>
      <c r="EMG3" s="15"/>
      <c r="EMH3" s="15"/>
      <c r="EMI3" s="15"/>
      <c r="EMJ3" s="15"/>
      <c r="EMK3" s="15"/>
      <c r="EML3" s="15"/>
      <c r="EMM3" s="15"/>
      <c r="EMN3" s="15"/>
      <c r="EMO3" s="15"/>
      <c r="EMP3" s="15"/>
      <c r="EMQ3" s="15"/>
      <c r="EMR3" s="15"/>
      <c r="EMS3" s="15"/>
      <c r="EMT3" s="15"/>
      <c r="EMU3" s="15"/>
      <c r="EMV3" s="15"/>
      <c r="EMW3" s="15"/>
      <c r="EMX3" s="15"/>
      <c r="EMY3" s="15"/>
      <c r="EMZ3" s="15"/>
      <c r="ENA3" s="15"/>
      <c r="ENB3" s="15"/>
      <c r="ENC3" s="15"/>
      <c r="END3" s="15"/>
      <c r="ENE3" s="15"/>
      <c r="ENF3" s="15"/>
      <c r="ENG3" s="15"/>
      <c r="ENH3" s="15"/>
      <c r="ENI3" s="15"/>
      <c r="ENJ3" s="15"/>
      <c r="ENK3" s="15"/>
      <c r="ENL3" s="15"/>
      <c r="ENM3" s="15"/>
      <c r="ENN3" s="15"/>
      <c r="ENO3" s="15"/>
      <c r="ENP3" s="15"/>
      <c r="ENQ3" s="15"/>
      <c r="ENR3" s="15"/>
      <c r="ENS3" s="15"/>
      <c r="ENT3" s="15"/>
      <c r="ENU3" s="15"/>
      <c r="ENV3" s="15"/>
      <c r="ENW3" s="15"/>
      <c r="ENX3" s="15"/>
      <c r="ENY3" s="15"/>
      <c r="ENZ3" s="15"/>
      <c r="EOA3" s="15"/>
      <c r="EOB3" s="15"/>
      <c r="EOC3" s="15"/>
      <c r="EOD3" s="15"/>
      <c r="EOE3" s="15"/>
      <c r="EOF3" s="15"/>
      <c r="EOG3" s="15"/>
      <c r="EOH3" s="15"/>
      <c r="EOI3" s="15"/>
      <c r="EOJ3" s="15"/>
      <c r="EOK3" s="15"/>
      <c r="EOL3" s="15"/>
      <c r="EOM3" s="15"/>
      <c r="EON3" s="15"/>
      <c r="EOO3" s="15"/>
      <c r="EOP3" s="15"/>
      <c r="EOQ3" s="15"/>
      <c r="EOR3" s="15"/>
      <c r="EOS3" s="15"/>
      <c r="EOT3" s="15"/>
      <c r="EOU3" s="15"/>
      <c r="EOV3" s="15"/>
      <c r="EOW3" s="15"/>
      <c r="EOX3" s="15"/>
      <c r="EOY3" s="15"/>
      <c r="EOZ3" s="15"/>
      <c r="EPA3" s="15"/>
      <c r="EPB3" s="15"/>
      <c r="EPC3" s="15"/>
      <c r="EPD3" s="15"/>
      <c r="EPE3" s="15"/>
      <c r="EPF3" s="15"/>
      <c r="EPG3" s="15"/>
      <c r="EPH3" s="15"/>
      <c r="EPI3" s="15"/>
      <c r="EPJ3" s="15"/>
      <c r="EPK3" s="15"/>
      <c r="EPL3" s="15"/>
      <c r="EPM3" s="15"/>
      <c r="EPN3" s="15"/>
      <c r="EPO3" s="15"/>
      <c r="EPP3" s="15"/>
      <c r="EPQ3" s="15"/>
      <c r="EPR3" s="15"/>
      <c r="EPS3" s="15"/>
      <c r="EPT3" s="15"/>
      <c r="EPU3" s="15"/>
      <c r="EPV3" s="15"/>
      <c r="EPW3" s="15"/>
      <c r="EPX3" s="15"/>
      <c r="EPY3" s="15"/>
      <c r="EPZ3" s="15"/>
      <c r="EQA3" s="15"/>
      <c r="EQB3" s="15"/>
      <c r="EQC3" s="15"/>
      <c r="EQD3" s="15"/>
      <c r="EQE3" s="15"/>
      <c r="EQF3" s="15"/>
      <c r="EQG3" s="15"/>
      <c r="EQH3" s="15"/>
      <c r="EQI3" s="15"/>
      <c r="EQJ3" s="15"/>
      <c r="EQK3" s="15"/>
      <c r="EQL3" s="15"/>
      <c r="EQM3" s="15"/>
      <c r="EQN3" s="15"/>
      <c r="EQO3" s="15"/>
      <c r="EQP3" s="15"/>
      <c r="EQQ3" s="15"/>
      <c r="EQR3" s="15"/>
      <c r="EQS3" s="15"/>
      <c r="EQT3" s="15"/>
      <c r="EQU3" s="15"/>
      <c r="EQV3" s="15"/>
      <c r="EQW3" s="15"/>
      <c r="EQX3" s="15"/>
      <c r="EQY3" s="15"/>
      <c r="EQZ3" s="15"/>
      <c r="ERA3" s="15"/>
      <c r="ERB3" s="15"/>
      <c r="ERC3" s="15"/>
      <c r="ERD3" s="15"/>
      <c r="ERE3" s="15"/>
      <c r="ERF3" s="15"/>
      <c r="ERG3" s="15"/>
      <c r="ERH3" s="15"/>
      <c r="ERI3" s="15"/>
      <c r="ERJ3" s="15"/>
      <c r="ERK3" s="15"/>
      <c r="ERL3" s="15"/>
      <c r="ERM3" s="15"/>
      <c r="ERN3" s="15"/>
      <c r="ERO3" s="15"/>
      <c r="ERP3" s="15"/>
      <c r="ERQ3" s="15"/>
      <c r="ERR3" s="15"/>
      <c r="ERS3" s="15"/>
      <c r="ERT3" s="15"/>
      <c r="ERU3" s="15"/>
      <c r="ERV3" s="15"/>
      <c r="ERW3" s="15"/>
      <c r="ERX3" s="15"/>
      <c r="ERY3" s="15"/>
      <c r="ERZ3" s="15"/>
      <c r="ESA3" s="15"/>
      <c r="ESB3" s="15"/>
      <c r="ESC3" s="15"/>
      <c r="ESD3" s="15"/>
      <c r="ESE3" s="15"/>
      <c r="ESF3" s="15"/>
      <c r="ESG3" s="15"/>
      <c r="ESH3" s="15"/>
      <c r="ESI3" s="15"/>
      <c r="ESJ3" s="15"/>
      <c r="ESK3" s="15"/>
      <c r="ESL3" s="15"/>
      <c r="ESM3" s="15"/>
      <c r="ESN3" s="15"/>
      <c r="ESO3" s="15"/>
      <c r="ESP3" s="15"/>
      <c r="ESQ3" s="15"/>
      <c r="ESR3" s="15"/>
      <c r="ESS3" s="15"/>
      <c r="EST3" s="15"/>
      <c r="ESU3" s="15"/>
      <c r="ESV3" s="15"/>
      <c r="ESW3" s="15"/>
      <c r="ESX3" s="15"/>
      <c r="ESY3" s="15"/>
      <c r="ESZ3" s="15"/>
      <c r="ETA3" s="15"/>
      <c r="ETB3" s="15"/>
      <c r="ETC3" s="15"/>
      <c r="ETD3" s="15"/>
      <c r="ETE3" s="15"/>
      <c r="ETF3" s="15"/>
      <c r="ETG3" s="15"/>
      <c r="ETH3" s="15"/>
      <c r="ETI3" s="15"/>
      <c r="ETJ3" s="15"/>
      <c r="ETK3" s="15"/>
      <c r="ETL3" s="15"/>
      <c r="ETM3" s="15"/>
      <c r="ETN3" s="15"/>
      <c r="ETO3" s="15"/>
      <c r="ETP3" s="15"/>
      <c r="ETQ3" s="15"/>
      <c r="ETR3" s="15"/>
      <c r="ETS3" s="15"/>
      <c r="ETT3" s="15"/>
      <c r="ETU3" s="15"/>
      <c r="ETV3" s="15"/>
      <c r="ETW3" s="15"/>
      <c r="ETX3" s="15"/>
      <c r="ETY3" s="15"/>
      <c r="ETZ3" s="15"/>
      <c r="EUA3" s="15"/>
      <c r="EUB3" s="15"/>
      <c r="EUC3" s="15"/>
      <c r="EUD3" s="15"/>
      <c r="EUE3" s="15"/>
      <c r="EUF3" s="15"/>
      <c r="EUG3" s="15"/>
      <c r="EUH3" s="15"/>
      <c r="EUI3" s="15"/>
      <c r="EUJ3" s="15"/>
      <c r="EUK3" s="15"/>
      <c r="EUL3" s="15"/>
      <c r="EUM3" s="15"/>
      <c r="EUN3" s="15"/>
      <c r="EUO3" s="15"/>
      <c r="EUP3" s="15"/>
      <c r="EUQ3" s="15"/>
      <c r="EUR3" s="15"/>
      <c r="EUS3" s="15"/>
      <c r="EUT3" s="15"/>
      <c r="EUU3" s="15"/>
      <c r="EUV3" s="15"/>
      <c r="EUW3" s="15"/>
      <c r="EUX3" s="15"/>
      <c r="EUY3" s="15"/>
      <c r="EUZ3" s="15"/>
      <c r="EVA3" s="15"/>
      <c r="EVB3" s="15"/>
      <c r="EVC3" s="15"/>
      <c r="EVD3" s="15"/>
      <c r="EVE3" s="15"/>
      <c r="EVF3" s="15"/>
      <c r="EVG3" s="15"/>
      <c r="EVH3" s="15"/>
      <c r="EVI3" s="15"/>
      <c r="EVJ3" s="15"/>
      <c r="EVK3" s="15"/>
      <c r="EVL3" s="15"/>
      <c r="EVM3" s="15"/>
      <c r="EVN3" s="15"/>
      <c r="EVO3" s="15"/>
      <c r="EVP3" s="15"/>
      <c r="EVQ3" s="15"/>
      <c r="EVR3" s="15"/>
      <c r="EVS3" s="15"/>
      <c r="EVT3" s="15"/>
      <c r="EVU3" s="15"/>
      <c r="EVV3" s="15"/>
      <c r="EVW3" s="15"/>
      <c r="EVX3" s="15"/>
      <c r="EVY3" s="15"/>
      <c r="EVZ3" s="15"/>
      <c r="EWA3" s="15"/>
      <c r="EWB3" s="15"/>
      <c r="EWC3" s="15"/>
      <c r="EWD3" s="15"/>
      <c r="EWE3" s="15"/>
      <c r="EWF3" s="15"/>
      <c r="EWG3" s="15"/>
      <c r="EWH3" s="15"/>
      <c r="EWI3" s="15"/>
      <c r="EWJ3" s="15"/>
      <c r="EWK3" s="15"/>
      <c r="EWL3" s="15"/>
      <c r="EWM3" s="15"/>
      <c r="EWN3" s="15"/>
      <c r="EWO3" s="15"/>
      <c r="EWP3" s="15"/>
      <c r="EWQ3" s="15"/>
      <c r="EWR3" s="15"/>
      <c r="EWS3" s="15"/>
      <c r="EWT3" s="15"/>
      <c r="EWU3" s="15"/>
      <c r="EWV3" s="15"/>
      <c r="EWW3" s="15"/>
      <c r="EWX3" s="15"/>
      <c r="EWY3" s="15"/>
      <c r="EWZ3" s="15"/>
      <c r="EXA3" s="15"/>
      <c r="EXB3" s="15"/>
      <c r="EXC3" s="15"/>
      <c r="EXD3" s="15"/>
      <c r="EXE3" s="15"/>
      <c r="EXF3" s="15"/>
      <c r="EXG3" s="15"/>
      <c r="EXH3" s="15"/>
      <c r="EXI3" s="15"/>
      <c r="EXJ3" s="15"/>
      <c r="EXK3" s="15"/>
      <c r="EXL3" s="15"/>
      <c r="EXM3" s="15"/>
      <c r="EXN3" s="15"/>
      <c r="EXO3" s="15"/>
      <c r="EXP3" s="15"/>
      <c r="EXQ3" s="15"/>
      <c r="EXR3" s="15"/>
      <c r="EXS3" s="15"/>
      <c r="EXT3" s="15"/>
      <c r="EXU3" s="15"/>
      <c r="EXV3" s="15"/>
      <c r="EXW3" s="15"/>
      <c r="EXX3" s="15"/>
      <c r="EXY3" s="15"/>
      <c r="EXZ3" s="15"/>
      <c r="EYA3" s="15"/>
      <c r="EYB3" s="15"/>
      <c r="EYC3" s="15"/>
      <c r="EYD3" s="15"/>
      <c r="EYE3" s="15"/>
      <c r="EYF3" s="15"/>
      <c r="EYG3" s="15"/>
      <c r="EYH3" s="15"/>
      <c r="EYI3" s="15"/>
      <c r="EYJ3" s="15"/>
      <c r="EYK3" s="15"/>
      <c r="EYL3" s="15"/>
      <c r="EYM3" s="15"/>
      <c r="EYN3" s="15"/>
      <c r="EYO3" s="15"/>
      <c r="EYP3" s="15"/>
      <c r="EYQ3" s="15"/>
      <c r="EYR3" s="15"/>
      <c r="EYS3" s="15"/>
      <c r="EYT3" s="15"/>
      <c r="EYU3" s="15"/>
      <c r="EYV3" s="15"/>
      <c r="EYW3" s="15"/>
      <c r="EYX3" s="15"/>
      <c r="EYY3" s="15"/>
      <c r="EYZ3" s="15"/>
      <c r="EZA3" s="15"/>
      <c r="EZB3" s="15"/>
      <c r="EZC3" s="15"/>
      <c r="EZD3" s="15"/>
      <c r="EZE3" s="15"/>
      <c r="EZF3" s="15"/>
      <c r="EZG3" s="15"/>
      <c r="EZH3" s="15"/>
      <c r="EZI3" s="15"/>
      <c r="EZJ3" s="15"/>
      <c r="EZK3" s="15"/>
      <c r="EZL3" s="15"/>
      <c r="EZM3" s="15"/>
      <c r="EZN3" s="15"/>
      <c r="EZO3" s="15"/>
      <c r="EZP3" s="15"/>
      <c r="EZQ3" s="15"/>
      <c r="EZR3" s="15"/>
      <c r="EZS3" s="15"/>
      <c r="EZT3" s="15"/>
      <c r="EZU3" s="15"/>
      <c r="EZV3" s="15"/>
      <c r="EZW3" s="15"/>
      <c r="EZX3" s="15"/>
      <c r="EZY3" s="15"/>
      <c r="EZZ3" s="15"/>
      <c r="FAA3" s="15"/>
      <c r="FAB3" s="15"/>
      <c r="FAC3" s="15"/>
      <c r="FAD3" s="15"/>
      <c r="FAE3" s="15"/>
      <c r="FAF3" s="15"/>
      <c r="FAG3" s="15"/>
      <c r="FAH3" s="15"/>
      <c r="FAI3" s="15"/>
      <c r="FAJ3" s="15"/>
      <c r="FAK3" s="15"/>
      <c r="FAL3" s="15"/>
      <c r="FAM3" s="15"/>
      <c r="FAN3" s="15"/>
      <c r="FAO3" s="15"/>
      <c r="FAP3" s="15"/>
      <c r="FAQ3" s="15"/>
      <c r="FAR3" s="15"/>
      <c r="FAS3" s="15"/>
      <c r="FAT3" s="15"/>
      <c r="FAU3" s="15"/>
      <c r="FAV3" s="15"/>
      <c r="FAW3" s="15"/>
      <c r="FAX3" s="15"/>
      <c r="FAY3" s="15"/>
      <c r="FAZ3" s="15"/>
      <c r="FBA3" s="15"/>
      <c r="FBB3" s="15"/>
      <c r="FBC3" s="15"/>
      <c r="FBD3" s="15"/>
      <c r="FBE3" s="15"/>
      <c r="FBF3" s="15"/>
      <c r="FBG3" s="15"/>
      <c r="FBH3" s="15"/>
      <c r="FBI3" s="15"/>
      <c r="FBJ3" s="15"/>
      <c r="FBK3" s="15"/>
      <c r="FBL3" s="15"/>
      <c r="FBM3" s="15"/>
      <c r="FBN3" s="15"/>
      <c r="FBO3" s="15"/>
      <c r="FBP3" s="15"/>
      <c r="FBQ3" s="15"/>
      <c r="FBR3" s="15"/>
      <c r="FBS3" s="15"/>
      <c r="FBT3" s="15"/>
      <c r="FBU3" s="15"/>
      <c r="FBV3" s="15"/>
      <c r="FBW3" s="15"/>
      <c r="FBX3" s="15"/>
      <c r="FBY3" s="15"/>
      <c r="FBZ3" s="15"/>
      <c r="FCA3" s="15"/>
      <c r="FCB3" s="15"/>
      <c r="FCC3" s="15"/>
      <c r="FCD3" s="15"/>
      <c r="FCE3" s="15"/>
      <c r="FCF3" s="15"/>
      <c r="FCG3" s="15"/>
      <c r="FCH3" s="15"/>
      <c r="FCI3" s="15"/>
      <c r="FCJ3" s="15"/>
      <c r="FCK3" s="15"/>
      <c r="FCL3" s="15"/>
      <c r="FCM3" s="15"/>
      <c r="FCN3" s="15"/>
      <c r="FCO3" s="15"/>
      <c r="FCP3" s="15"/>
      <c r="FCQ3" s="15"/>
      <c r="FCR3" s="15"/>
      <c r="FCS3" s="15"/>
      <c r="FCT3" s="15"/>
      <c r="FCU3" s="15"/>
      <c r="FCV3" s="15"/>
      <c r="FCW3" s="15"/>
      <c r="FCX3" s="15"/>
      <c r="FCY3" s="15"/>
      <c r="FCZ3" s="15"/>
      <c r="FDA3" s="15"/>
      <c r="FDB3" s="15"/>
      <c r="FDC3" s="15"/>
      <c r="FDD3" s="15"/>
      <c r="FDE3" s="15"/>
      <c r="FDF3" s="15"/>
      <c r="FDG3" s="15"/>
      <c r="FDH3" s="15"/>
      <c r="FDI3" s="15"/>
      <c r="FDJ3" s="15"/>
      <c r="FDK3" s="15"/>
      <c r="FDL3" s="15"/>
      <c r="FDM3" s="15"/>
      <c r="FDN3" s="15"/>
      <c r="FDO3" s="15"/>
      <c r="FDP3" s="15"/>
      <c r="FDQ3" s="15"/>
      <c r="FDR3" s="15"/>
      <c r="FDS3" s="15"/>
      <c r="FDT3" s="15"/>
      <c r="FDU3" s="15"/>
      <c r="FDV3" s="15"/>
      <c r="FDW3" s="15"/>
      <c r="FDX3" s="15"/>
      <c r="FDY3" s="15"/>
      <c r="FDZ3" s="15"/>
      <c r="FEA3" s="15"/>
      <c r="FEB3" s="15"/>
      <c r="FEC3" s="15"/>
      <c r="FED3" s="15"/>
      <c r="FEE3" s="15"/>
      <c r="FEF3" s="15"/>
      <c r="FEG3" s="15"/>
      <c r="FEH3" s="15"/>
      <c r="FEI3" s="15"/>
      <c r="FEJ3" s="15"/>
      <c r="FEK3" s="15"/>
      <c r="FEL3" s="15"/>
      <c r="FEM3" s="15"/>
      <c r="FEN3" s="15"/>
      <c r="FEO3" s="15"/>
      <c r="FEP3" s="15"/>
      <c r="FEQ3" s="15"/>
      <c r="FER3" s="15"/>
      <c r="FES3" s="15"/>
      <c r="FET3" s="15"/>
      <c r="FEU3" s="15"/>
      <c r="FEV3" s="15"/>
      <c r="FEW3" s="15"/>
      <c r="FEX3" s="15"/>
      <c r="FEY3" s="15"/>
      <c r="FEZ3" s="15"/>
      <c r="FFA3" s="15"/>
      <c r="FFB3" s="15"/>
      <c r="FFC3" s="15"/>
      <c r="FFD3" s="15"/>
      <c r="FFE3" s="15"/>
      <c r="FFF3" s="15"/>
      <c r="FFG3" s="15"/>
      <c r="FFH3" s="15"/>
      <c r="FFI3" s="15"/>
      <c r="FFJ3" s="15"/>
      <c r="FFK3" s="15"/>
      <c r="FFL3" s="15"/>
      <c r="FFM3" s="15"/>
      <c r="FFN3" s="15"/>
      <c r="FFO3" s="15"/>
      <c r="FFP3" s="15"/>
      <c r="FFQ3" s="15"/>
      <c r="FFR3" s="15"/>
      <c r="FFS3" s="15"/>
      <c r="FFT3" s="15"/>
      <c r="FFU3" s="15"/>
      <c r="FFV3" s="15"/>
      <c r="FFW3" s="15"/>
      <c r="FFX3" s="15"/>
      <c r="FFY3" s="15"/>
      <c r="FFZ3" s="15"/>
      <c r="FGA3" s="15"/>
      <c r="FGB3" s="15"/>
      <c r="FGC3" s="15"/>
      <c r="FGD3" s="15"/>
      <c r="FGE3" s="15"/>
      <c r="FGF3" s="15"/>
      <c r="FGG3" s="15"/>
      <c r="FGH3" s="15"/>
      <c r="FGI3" s="15"/>
      <c r="FGJ3" s="15"/>
      <c r="FGK3" s="15"/>
      <c r="FGL3" s="15"/>
      <c r="FGM3" s="15"/>
      <c r="FGN3" s="15"/>
      <c r="FGO3" s="15"/>
      <c r="FGP3" s="15"/>
      <c r="FGQ3" s="15"/>
      <c r="FGR3" s="15"/>
      <c r="FGS3" s="15"/>
      <c r="FGT3" s="15"/>
      <c r="FGU3" s="15"/>
      <c r="FGV3" s="15"/>
      <c r="FGW3" s="15"/>
      <c r="FGX3" s="15"/>
      <c r="FGY3" s="15"/>
      <c r="FGZ3" s="15"/>
      <c r="FHA3" s="15"/>
      <c r="FHB3" s="15"/>
      <c r="FHC3" s="15"/>
      <c r="FHD3" s="15"/>
      <c r="FHE3" s="15"/>
      <c r="FHF3" s="15"/>
      <c r="FHG3" s="15"/>
      <c r="FHH3" s="15"/>
      <c r="FHI3" s="15"/>
      <c r="FHJ3" s="15"/>
      <c r="FHK3" s="15"/>
      <c r="FHL3" s="15"/>
      <c r="FHM3" s="15"/>
      <c r="FHN3" s="15"/>
      <c r="FHO3" s="15"/>
      <c r="FHP3" s="15"/>
      <c r="FHQ3" s="15"/>
      <c r="FHR3" s="15"/>
      <c r="FHS3" s="15"/>
      <c r="FHT3" s="15"/>
      <c r="FHU3" s="15"/>
      <c r="FHV3" s="15"/>
      <c r="FHW3" s="15"/>
      <c r="FHX3" s="15"/>
      <c r="FHY3" s="15"/>
      <c r="FHZ3" s="15"/>
      <c r="FIA3" s="15"/>
      <c r="FIB3" s="15"/>
      <c r="FIC3" s="15"/>
      <c r="FID3" s="15"/>
      <c r="FIE3" s="15"/>
      <c r="FIF3" s="15"/>
      <c r="FIG3" s="15"/>
      <c r="FIH3" s="15"/>
      <c r="FII3" s="15"/>
      <c r="FIJ3" s="15"/>
      <c r="FIK3" s="15"/>
      <c r="FIL3" s="15"/>
      <c r="FIM3" s="15"/>
      <c r="FIN3" s="15"/>
      <c r="FIO3" s="15"/>
      <c r="FIP3" s="15"/>
      <c r="FIQ3" s="15"/>
      <c r="FIR3" s="15"/>
      <c r="FIS3" s="15"/>
      <c r="FIT3" s="15"/>
      <c r="FIU3" s="15"/>
      <c r="FIV3" s="15"/>
      <c r="FIW3" s="15"/>
      <c r="FIX3" s="15"/>
      <c r="FIY3" s="15"/>
      <c r="FIZ3" s="15"/>
      <c r="FJA3" s="15"/>
      <c r="FJB3" s="15"/>
      <c r="FJC3" s="15"/>
      <c r="FJD3" s="15"/>
      <c r="FJE3" s="15"/>
      <c r="FJF3" s="15"/>
      <c r="FJG3" s="15"/>
      <c r="FJH3" s="15"/>
      <c r="FJI3" s="15"/>
      <c r="FJJ3" s="15"/>
      <c r="FJK3" s="15"/>
      <c r="FJL3" s="15"/>
      <c r="FJM3" s="15"/>
      <c r="FJN3" s="15"/>
      <c r="FJO3" s="15"/>
      <c r="FJP3" s="15"/>
      <c r="FJQ3" s="15"/>
      <c r="FJR3" s="15"/>
      <c r="FJS3" s="15"/>
      <c r="FJT3" s="15"/>
      <c r="FJU3" s="15"/>
      <c r="FJV3" s="15"/>
      <c r="FJW3" s="15"/>
      <c r="FJX3" s="15"/>
      <c r="FJY3" s="15"/>
      <c r="FJZ3" s="15"/>
      <c r="FKA3" s="15"/>
      <c r="FKB3" s="15"/>
      <c r="FKC3" s="15"/>
      <c r="FKD3" s="15"/>
      <c r="FKE3" s="15"/>
      <c r="FKF3" s="15"/>
      <c r="FKG3" s="15"/>
      <c r="FKH3" s="15"/>
      <c r="FKI3" s="15"/>
      <c r="FKJ3" s="15"/>
      <c r="FKK3" s="15"/>
      <c r="FKL3" s="15"/>
      <c r="FKM3" s="15"/>
      <c r="FKN3" s="15"/>
      <c r="FKO3" s="15"/>
      <c r="FKP3" s="15"/>
      <c r="FKQ3" s="15"/>
      <c r="FKR3" s="15"/>
      <c r="FKS3" s="15"/>
      <c r="FKT3" s="15"/>
      <c r="FKU3" s="15"/>
      <c r="FKV3" s="15"/>
      <c r="FKW3" s="15"/>
      <c r="FKX3" s="15"/>
      <c r="FKY3" s="15"/>
      <c r="FKZ3" s="15"/>
      <c r="FLA3" s="15"/>
      <c r="FLB3" s="15"/>
      <c r="FLC3" s="15"/>
      <c r="FLD3" s="15"/>
      <c r="FLE3" s="15"/>
      <c r="FLF3" s="15"/>
      <c r="FLG3" s="15"/>
      <c r="FLH3" s="15"/>
      <c r="FLI3" s="15"/>
      <c r="FLJ3" s="15"/>
      <c r="FLK3" s="15"/>
      <c r="FLL3" s="15"/>
      <c r="FLM3" s="15"/>
      <c r="FLN3" s="15"/>
      <c r="FLO3" s="15"/>
      <c r="FLP3" s="15"/>
      <c r="FLQ3" s="15"/>
      <c r="FLR3" s="15"/>
      <c r="FLS3" s="15"/>
      <c r="FLT3" s="15"/>
      <c r="FLU3" s="15"/>
      <c r="FLV3" s="15"/>
      <c r="FLW3" s="15"/>
      <c r="FLX3" s="15"/>
      <c r="FLY3" s="15"/>
      <c r="FLZ3" s="15"/>
      <c r="FMA3" s="15"/>
      <c r="FMB3" s="15"/>
      <c r="FMC3" s="15"/>
      <c r="FMD3" s="15"/>
      <c r="FME3" s="15"/>
      <c r="FMF3" s="15"/>
      <c r="FMG3" s="15"/>
      <c r="FMH3" s="15"/>
      <c r="FMI3" s="15"/>
      <c r="FMJ3" s="15"/>
      <c r="FMK3" s="15"/>
      <c r="FML3" s="15"/>
      <c r="FMM3" s="15"/>
      <c r="FMN3" s="15"/>
      <c r="FMO3" s="15"/>
      <c r="FMP3" s="15"/>
      <c r="FMQ3" s="15"/>
      <c r="FMR3" s="15"/>
      <c r="FMS3" s="15"/>
      <c r="FMT3" s="15"/>
      <c r="FMU3" s="15"/>
      <c r="FMV3" s="15"/>
      <c r="FMW3" s="15"/>
      <c r="FMX3" s="15"/>
      <c r="FMY3" s="15"/>
      <c r="FMZ3" s="15"/>
      <c r="FNA3" s="15"/>
      <c r="FNB3" s="15"/>
      <c r="FNC3" s="15"/>
      <c r="FND3" s="15"/>
      <c r="FNE3" s="15"/>
      <c r="FNF3" s="15"/>
      <c r="FNG3" s="15"/>
      <c r="FNH3" s="15"/>
      <c r="FNI3" s="15"/>
      <c r="FNJ3" s="15"/>
      <c r="FNK3" s="15"/>
      <c r="FNL3" s="15"/>
      <c r="FNM3" s="15"/>
      <c r="FNN3" s="15"/>
      <c r="FNO3" s="15"/>
      <c r="FNP3" s="15"/>
      <c r="FNQ3" s="15"/>
      <c r="FNR3" s="15"/>
      <c r="FNS3" s="15"/>
      <c r="FNT3" s="15"/>
      <c r="FNU3" s="15"/>
      <c r="FNV3" s="15"/>
      <c r="FNW3" s="15"/>
      <c r="FNX3" s="15"/>
      <c r="FNY3" s="15"/>
      <c r="FNZ3" s="15"/>
      <c r="FOA3" s="15"/>
      <c r="FOB3" s="15"/>
      <c r="FOC3" s="15"/>
      <c r="FOD3" s="15"/>
      <c r="FOE3" s="15"/>
      <c r="FOF3" s="15"/>
      <c r="FOG3" s="15"/>
      <c r="FOH3" s="15"/>
      <c r="FOI3" s="15"/>
      <c r="FOJ3" s="15"/>
      <c r="FOK3" s="15"/>
      <c r="FOL3" s="15"/>
      <c r="FOM3" s="15"/>
      <c r="FON3" s="15"/>
      <c r="FOO3" s="15"/>
      <c r="FOP3" s="15"/>
      <c r="FOQ3" s="15"/>
      <c r="FOR3" s="15"/>
      <c r="FOS3" s="15"/>
      <c r="FOT3" s="15"/>
      <c r="FOU3" s="15"/>
      <c r="FOV3" s="15"/>
      <c r="FOW3" s="15"/>
      <c r="FOX3" s="15"/>
      <c r="FOY3" s="15"/>
      <c r="FOZ3" s="15"/>
      <c r="FPA3" s="15"/>
      <c r="FPB3" s="15"/>
      <c r="FPC3" s="15"/>
      <c r="FPD3" s="15"/>
      <c r="FPE3" s="15"/>
      <c r="FPF3" s="15"/>
      <c r="FPG3" s="15"/>
      <c r="FPH3" s="15"/>
      <c r="FPI3" s="15"/>
      <c r="FPJ3" s="15"/>
      <c r="FPK3" s="15"/>
      <c r="FPL3" s="15"/>
      <c r="FPM3" s="15"/>
      <c r="FPN3" s="15"/>
      <c r="FPO3" s="15"/>
      <c r="FPP3" s="15"/>
      <c r="FPQ3" s="15"/>
      <c r="FPR3" s="15"/>
      <c r="FPS3" s="15"/>
      <c r="FPT3" s="15"/>
      <c r="FPU3" s="15"/>
      <c r="FPV3" s="15"/>
      <c r="FPW3" s="15"/>
      <c r="FPX3" s="15"/>
      <c r="FPY3" s="15"/>
      <c r="FPZ3" s="15"/>
      <c r="FQA3" s="15"/>
      <c r="FQB3" s="15"/>
      <c r="FQC3" s="15"/>
      <c r="FQD3" s="15"/>
      <c r="FQE3" s="15"/>
      <c r="FQF3" s="15"/>
      <c r="FQG3" s="15"/>
      <c r="FQH3" s="15"/>
      <c r="FQI3" s="15"/>
      <c r="FQJ3" s="15"/>
      <c r="FQK3" s="15"/>
      <c r="FQL3" s="15"/>
      <c r="FQM3" s="15"/>
      <c r="FQN3" s="15"/>
      <c r="FQO3" s="15"/>
      <c r="FQP3" s="15"/>
      <c r="FQQ3" s="15"/>
      <c r="FQR3" s="15"/>
      <c r="FQS3" s="15"/>
      <c r="FQT3" s="15"/>
      <c r="FQU3" s="15"/>
      <c r="FQV3" s="15"/>
      <c r="FQW3" s="15"/>
      <c r="FQX3" s="15"/>
      <c r="FQY3" s="15"/>
      <c r="FQZ3" s="15"/>
      <c r="FRA3" s="15"/>
      <c r="FRB3" s="15"/>
      <c r="FRC3" s="15"/>
      <c r="FRD3" s="15"/>
      <c r="FRE3" s="15"/>
      <c r="FRF3" s="15"/>
      <c r="FRG3" s="15"/>
      <c r="FRH3" s="15"/>
      <c r="FRI3" s="15"/>
      <c r="FRJ3" s="15"/>
      <c r="FRK3" s="15"/>
      <c r="FRL3" s="15"/>
      <c r="FRM3" s="15"/>
      <c r="FRN3" s="15"/>
      <c r="FRO3" s="15"/>
      <c r="FRP3" s="15"/>
      <c r="FRQ3" s="15"/>
      <c r="FRR3" s="15"/>
      <c r="FRS3" s="15"/>
      <c r="FRT3" s="15"/>
      <c r="FRU3" s="15"/>
      <c r="FRV3" s="15"/>
      <c r="FRW3" s="15"/>
      <c r="FRX3" s="15"/>
      <c r="FRY3" s="15"/>
      <c r="FRZ3" s="15"/>
      <c r="FSA3" s="15"/>
      <c r="FSB3" s="15"/>
      <c r="FSC3" s="15"/>
      <c r="FSD3" s="15"/>
      <c r="FSE3" s="15"/>
      <c r="FSF3" s="15"/>
      <c r="FSG3" s="15"/>
      <c r="FSH3" s="15"/>
      <c r="FSI3" s="15"/>
      <c r="FSJ3" s="15"/>
      <c r="FSK3" s="15"/>
      <c r="FSL3" s="15"/>
      <c r="FSM3" s="15"/>
      <c r="FSN3" s="15"/>
      <c r="FSO3" s="15"/>
      <c r="FSP3" s="15"/>
      <c r="FSQ3" s="15"/>
      <c r="FSR3" s="15"/>
      <c r="FSS3" s="15"/>
      <c r="FST3" s="15"/>
      <c r="FSU3" s="15"/>
      <c r="FSV3" s="15"/>
      <c r="FSW3" s="15"/>
      <c r="FSX3" s="15"/>
      <c r="FSY3" s="15"/>
      <c r="FSZ3" s="15"/>
      <c r="FTA3" s="15"/>
      <c r="FTB3" s="15"/>
      <c r="FTC3" s="15"/>
      <c r="FTD3" s="15"/>
      <c r="FTE3" s="15"/>
      <c r="FTF3" s="15"/>
      <c r="FTG3" s="15"/>
      <c r="FTH3" s="15"/>
      <c r="FTI3" s="15"/>
      <c r="FTJ3" s="15"/>
      <c r="FTK3" s="15"/>
      <c r="FTL3" s="15"/>
      <c r="FTM3" s="15"/>
      <c r="FTN3" s="15"/>
      <c r="FTO3" s="15"/>
      <c r="FTP3" s="15"/>
      <c r="FTQ3" s="15"/>
      <c r="FTR3" s="15"/>
      <c r="FTS3" s="15"/>
      <c r="FTT3" s="15"/>
      <c r="FTU3" s="15"/>
      <c r="FTV3" s="15"/>
      <c r="FTW3" s="15"/>
      <c r="FTX3" s="15"/>
      <c r="FTY3" s="15"/>
      <c r="FTZ3" s="15"/>
      <c r="FUA3" s="15"/>
      <c r="FUB3" s="15"/>
      <c r="FUC3" s="15"/>
      <c r="FUD3" s="15"/>
      <c r="FUE3" s="15"/>
      <c r="FUF3" s="15"/>
      <c r="FUG3" s="15"/>
      <c r="FUH3" s="15"/>
      <c r="FUI3" s="15"/>
      <c r="FUJ3" s="15"/>
      <c r="FUK3" s="15"/>
      <c r="FUL3" s="15"/>
      <c r="FUM3" s="15"/>
      <c r="FUN3" s="15"/>
      <c r="FUO3" s="15"/>
      <c r="FUP3" s="15"/>
      <c r="FUQ3" s="15"/>
      <c r="FUR3" s="15"/>
      <c r="FUS3" s="15"/>
      <c r="FUT3" s="15"/>
      <c r="FUU3" s="15"/>
      <c r="FUV3" s="15"/>
      <c r="FUW3" s="15"/>
      <c r="FUX3" s="15"/>
      <c r="FUY3" s="15"/>
      <c r="FUZ3" s="15"/>
      <c r="FVA3" s="15"/>
      <c r="FVB3" s="15"/>
      <c r="FVC3" s="15"/>
      <c r="FVD3" s="15"/>
      <c r="FVE3" s="15"/>
      <c r="FVF3" s="15"/>
      <c r="FVG3" s="15"/>
      <c r="FVH3" s="15"/>
      <c r="FVI3" s="15"/>
      <c r="FVJ3" s="15"/>
      <c r="FVK3" s="15"/>
      <c r="FVL3" s="15"/>
      <c r="FVM3" s="15"/>
      <c r="FVN3" s="15"/>
      <c r="FVO3" s="15"/>
      <c r="FVP3" s="15"/>
      <c r="FVQ3" s="15"/>
      <c r="FVR3" s="15"/>
      <c r="FVS3" s="15"/>
      <c r="FVT3" s="15"/>
      <c r="FVU3" s="15"/>
      <c r="FVV3" s="15"/>
      <c r="FVW3" s="15"/>
      <c r="FVX3" s="15"/>
      <c r="FVY3" s="15"/>
      <c r="FVZ3" s="15"/>
      <c r="FWA3" s="15"/>
      <c r="FWB3" s="15"/>
      <c r="FWC3" s="15"/>
      <c r="FWD3" s="15"/>
      <c r="FWE3" s="15"/>
      <c r="FWF3" s="15"/>
      <c r="FWG3" s="15"/>
      <c r="FWH3" s="15"/>
      <c r="FWI3" s="15"/>
      <c r="FWJ3" s="15"/>
      <c r="FWK3" s="15"/>
      <c r="FWL3" s="15"/>
      <c r="FWM3" s="15"/>
      <c r="FWN3" s="15"/>
      <c r="FWO3" s="15"/>
      <c r="FWP3" s="15"/>
      <c r="FWQ3" s="15"/>
      <c r="FWR3" s="15"/>
      <c r="FWS3" s="15"/>
      <c r="FWT3" s="15"/>
      <c r="FWU3" s="15"/>
      <c r="FWV3" s="15"/>
      <c r="FWW3" s="15"/>
      <c r="FWX3" s="15"/>
      <c r="FWY3" s="15"/>
      <c r="FWZ3" s="15"/>
      <c r="FXA3" s="15"/>
      <c r="FXB3" s="15"/>
      <c r="FXC3" s="15"/>
      <c r="FXD3" s="15"/>
      <c r="FXE3" s="15"/>
      <c r="FXF3" s="15"/>
      <c r="FXG3" s="15"/>
      <c r="FXH3" s="15"/>
      <c r="FXI3" s="15"/>
      <c r="FXJ3" s="15"/>
      <c r="FXK3" s="15"/>
      <c r="FXL3" s="15"/>
      <c r="FXM3" s="15"/>
      <c r="FXN3" s="15"/>
      <c r="FXO3" s="15"/>
      <c r="FXP3" s="15"/>
      <c r="FXQ3" s="15"/>
      <c r="FXR3" s="15"/>
      <c r="FXS3" s="15"/>
      <c r="FXT3" s="15"/>
      <c r="FXU3" s="15"/>
      <c r="FXV3" s="15"/>
      <c r="FXW3" s="15"/>
      <c r="FXX3" s="15"/>
      <c r="FXY3" s="15"/>
      <c r="FXZ3" s="15"/>
      <c r="FYA3" s="15"/>
      <c r="FYB3" s="15"/>
      <c r="FYC3" s="15"/>
      <c r="FYD3" s="15"/>
      <c r="FYE3" s="15"/>
      <c r="FYF3" s="15"/>
      <c r="FYG3" s="15"/>
      <c r="FYH3" s="15"/>
      <c r="FYI3" s="15"/>
      <c r="FYJ3" s="15"/>
      <c r="FYK3" s="15"/>
      <c r="FYL3" s="15"/>
      <c r="FYM3" s="15"/>
      <c r="FYN3" s="15"/>
      <c r="FYO3" s="15"/>
      <c r="FYP3" s="15"/>
      <c r="FYQ3" s="15"/>
      <c r="FYR3" s="15"/>
      <c r="FYS3" s="15"/>
      <c r="FYT3" s="15"/>
      <c r="FYU3" s="15"/>
      <c r="FYV3" s="15"/>
      <c r="FYW3" s="15"/>
      <c r="FYX3" s="15"/>
      <c r="FYY3" s="15"/>
      <c r="FYZ3" s="15"/>
      <c r="FZA3" s="15"/>
      <c r="FZB3" s="15"/>
      <c r="FZC3" s="15"/>
      <c r="FZD3" s="15"/>
      <c r="FZE3" s="15"/>
      <c r="FZF3" s="15"/>
      <c r="FZG3" s="15"/>
      <c r="FZH3" s="15"/>
      <c r="FZI3" s="15"/>
      <c r="FZJ3" s="15"/>
      <c r="FZK3" s="15"/>
      <c r="FZL3" s="15"/>
      <c r="FZM3" s="15"/>
      <c r="FZN3" s="15"/>
      <c r="FZO3" s="15"/>
      <c r="FZP3" s="15"/>
      <c r="FZQ3" s="15"/>
      <c r="FZR3" s="15"/>
      <c r="FZS3" s="15"/>
      <c r="FZT3" s="15"/>
      <c r="FZU3" s="15"/>
      <c r="FZV3" s="15"/>
      <c r="FZW3" s="15"/>
      <c r="FZX3" s="15"/>
      <c r="FZY3" s="15"/>
      <c r="FZZ3" s="15"/>
      <c r="GAA3" s="15"/>
      <c r="GAB3" s="15"/>
      <c r="GAC3" s="15"/>
      <c r="GAD3" s="15"/>
      <c r="GAE3" s="15"/>
      <c r="GAF3" s="15"/>
      <c r="GAG3" s="15"/>
      <c r="GAH3" s="15"/>
      <c r="GAI3" s="15"/>
      <c r="GAJ3" s="15"/>
      <c r="GAK3" s="15"/>
      <c r="GAL3" s="15"/>
      <c r="GAM3" s="15"/>
      <c r="GAN3" s="15"/>
      <c r="GAO3" s="15"/>
      <c r="GAP3" s="15"/>
      <c r="GAQ3" s="15"/>
      <c r="GAR3" s="15"/>
      <c r="GAS3" s="15"/>
      <c r="GAT3" s="15"/>
      <c r="GAU3" s="15"/>
      <c r="GAV3" s="15"/>
      <c r="GAW3" s="15"/>
      <c r="GAX3" s="15"/>
      <c r="GAY3" s="15"/>
      <c r="GAZ3" s="15"/>
      <c r="GBA3" s="15"/>
      <c r="GBB3" s="15"/>
      <c r="GBC3" s="15"/>
      <c r="GBD3" s="15"/>
      <c r="GBE3" s="15"/>
      <c r="GBF3" s="15"/>
      <c r="GBG3" s="15"/>
      <c r="GBH3" s="15"/>
      <c r="GBI3" s="15"/>
      <c r="GBJ3" s="15"/>
      <c r="GBK3" s="15"/>
      <c r="GBL3" s="15"/>
      <c r="GBM3" s="15"/>
      <c r="GBN3" s="15"/>
      <c r="GBO3" s="15"/>
      <c r="GBP3" s="15"/>
      <c r="GBQ3" s="15"/>
      <c r="GBR3" s="15"/>
      <c r="GBS3" s="15"/>
      <c r="GBT3" s="15"/>
      <c r="GBU3" s="15"/>
      <c r="GBV3" s="15"/>
      <c r="GBW3" s="15"/>
      <c r="GBX3" s="15"/>
      <c r="GBY3" s="15"/>
      <c r="GBZ3" s="15"/>
      <c r="GCA3" s="15"/>
      <c r="GCB3" s="15"/>
      <c r="GCC3" s="15"/>
      <c r="GCD3" s="15"/>
      <c r="GCE3" s="15"/>
      <c r="GCF3" s="15"/>
      <c r="GCG3" s="15"/>
      <c r="GCH3" s="15"/>
      <c r="GCI3" s="15"/>
      <c r="GCJ3" s="15"/>
      <c r="GCK3" s="15"/>
      <c r="GCL3" s="15"/>
      <c r="GCM3" s="15"/>
      <c r="GCN3" s="15"/>
      <c r="GCO3" s="15"/>
      <c r="GCP3" s="15"/>
      <c r="GCQ3" s="15"/>
      <c r="GCR3" s="15"/>
      <c r="GCS3" s="15"/>
      <c r="GCT3" s="15"/>
      <c r="GCU3" s="15"/>
      <c r="GCV3" s="15"/>
      <c r="GCW3" s="15"/>
      <c r="GCX3" s="15"/>
      <c r="GCY3" s="15"/>
      <c r="GCZ3" s="15"/>
      <c r="GDA3" s="15"/>
      <c r="GDB3" s="15"/>
      <c r="GDC3" s="15"/>
      <c r="GDD3" s="15"/>
      <c r="GDE3" s="15"/>
      <c r="GDF3" s="15"/>
      <c r="GDG3" s="15"/>
      <c r="GDH3" s="15"/>
      <c r="GDI3" s="15"/>
      <c r="GDJ3" s="15"/>
      <c r="GDK3" s="15"/>
      <c r="GDL3" s="15"/>
      <c r="GDM3" s="15"/>
      <c r="GDN3" s="15"/>
      <c r="GDO3" s="15"/>
      <c r="GDP3" s="15"/>
      <c r="GDQ3" s="15"/>
      <c r="GDR3" s="15"/>
      <c r="GDS3" s="15"/>
      <c r="GDT3" s="15"/>
      <c r="GDU3" s="15"/>
      <c r="GDV3" s="15"/>
      <c r="GDW3" s="15"/>
      <c r="GDX3" s="15"/>
      <c r="GDY3" s="15"/>
      <c r="GDZ3" s="15"/>
      <c r="GEA3" s="15"/>
      <c r="GEB3" s="15"/>
      <c r="GEC3" s="15"/>
      <c r="GED3" s="15"/>
      <c r="GEE3" s="15"/>
      <c r="GEF3" s="15"/>
      <c r="GEG3" s="15"/>
      <c r="GEH3" s="15"/>
      <c r="GEI3" s="15"/>
      <c r="GEJ3" s="15"/>
      <c r="GEK3" s="15"/>
      <c r="GEL3" s="15"/>
      <c r="GEM3" s="15"/>
      <c r="GEN3" s="15"/>
      <c r="GEO3" s="15"/>
      <c r="GEP3" s="15"/>
      <c r="GEQ3" s="15"/>
      <c r="GER3" s="15"/>
      <c r="GES3" s="15"/>
      <c r="GET3" s="15"/>
      <c r="GEU3" s="15"/>
      <c r="GEV3" s="15"/>
      <c r="GEW3" s="15"/>
      <c r="GEX3" s="15"/>
      <c r="GEY3" s="15"/>
      <c r="GEZ3" s="15"/>
      <c r="GFA3" s="15"/>
      <c r="GFB3" s="15"/>
      <c r="GFC3" s="15"/>
      <c r="GFD3" s="15"/>
      <c r="GFE3" s="15"/>
      <c r="GFF3" s="15"/>
      <c r="GFG3" s="15"/>
      <c r="GFH3" s="15"/>
      <c r="GFI3" s="15"/>
      <c r="GFJ3" s="15"/>
      <c r="GFK3" s="15"/>
      <c r="GFL3" s="15"/>
      <c r="GFM3" s="15"/>
      <c r="GFN3" s="15"/>
      <c r="GFO3" s="15"/>
      <c r="GFP3" s="15"/>
      <c r="GFQ3" s="15"/>
      <c r="GFR3" s="15"/>
      <c r="GFS3" s="15"/>
      <c r="GFT3" s="15"/>
      <c r="GFU3" s="15"/>
      <c r="GFV3" s="15"/>
      <c r="GFW3" s="15"/>
      <c r="GFX3" s="15"/>
      <c r="GFY3" s="15"/>
      <c r="GFZ3" s="15"/>
      <c r="GGA3" s="15"/>
      <c r="GGB3" s="15"/>
      <c r="GGC3" s="15"/>
      <c r="GGD3" s="15"/>
      <c r="GGE3" s="15"/>
      <c r="GGF3" s="15"/>
      <c r="GGG3" s="15"/>
      <c r="GGH3" s="15"/>
      <c r="GGI3" s="15"/>
      <c r="GGJ3" s="15"/>
      <c r="GGK3" s="15"/>
      <c r="GGL3" s="15"/>
      <c r="GGM3" s="15"/>
      <c r="GGN3" s="15"/>
      <c r="GGO3" s="15"/>
      <c r="GGP3" s="15"/>
      <c r="GGQ3" s="15"/>
      <c r="GGR3" s="15"/>
      <c r="GGS3" s="15"/>
      <c r="GGT3" s="15"/>
      <c r="GGU3" s="15"/>
      <c r="GGV3" s="15"/>
      <c r="GGW3" s="15"/>
      <c r="GGX3" s="15"/>
      <c r="GGY3" s="15"/>
      <c r="GGZ3" s="15"/>
      <c r="GHA3" s="15"/>
      <c r="GHB3" s="15"/>
      <c r="GHC3" s="15"/>
      <c r="GHD3" s="15"/>
      <c r="GHE3" s="15"/>
      <c r="GHF3" s="15"/>
      <c r="GHG3" s="15"/>
      <c r="GHH3" s="15"/>
      <c r="GHI3" s="15"/>
      <c r="GHJ3" s="15"/>
      <c r="GHK3" s="15"/>
      <c r="GHL3" s="15"/>
      <c r="GHM3" s="15"/>
      <c r="GHN3" s="15"/>
      <c r="GHO3" s="15"/>
      <c r="GHP3" s="15"/>
      <c r="GHQ3" s="15"/>
      <c r="GHR3" s="15"/>
      <c r="GHS3" s="15"/>
      <c r="GHT3" s="15"/>
      <c r="GHU3" s="15"/>
      <c r="GHV3" s="15"/>
      <c r="GHW3" s="15"/>
      <c r="GHX3" s="15"/>
      <c r="GHY3" s="15"/>
      <c r="GHZ3" s="15"/>
      <c r="GIA3" s="15"/>
      <c r="GIB3" s="15"/>
      <c r="GIC3" s="15"/>
      <c r="GID3" s="15"/>
      <c r="GIE3" s="15"/>
      <c r="GIF3" s="15"/>
      <c r="GIG3" s="15"/>
      <c r="GIH3" s="15"/>
      <c r="GII3" s="15"/>
      <c r="GIJ3" s="15"/>
      <c r="GIK3" s="15"/>
      <c r="GIL3" s="15"/>
      <c r="GIM3" s="15"/>
      <c r="GIN3" s="15"/>
      <c r="GIO3" s="15"/>
      <c r="GIP3" s="15"/>
      <c r="GIQ3" s="15"/>
      <c r="GIR3" s="15"/>
      <c r="GIS3" s="15"/>
      <c r="GIT3" s="15"/>
      <c r="GIU3" s="15"/>
      <c r="GIV3" s="15"/>
      <c r="GIW3" s="15"/>
      <c r="GIX3" s="15"/>
      <c r="GIY3" s="15"/>
      <c r="GIZ3" s="15"/>
      <c r="GJA3" s="15"/>
      <c r="GJB3" s="15"/>
      <c r="GJC3" s="15"/>
      <c r="GJD3" s="15"/>
      <c r="GJE3" s="15"/>
      <c r="GJF3" s="15"/>
      <c r="GJG3" s="15"/>
      <c r="GJH3" s="15"/>
      <c r="GJI3" s="15"/>
      <c r="GJJ3" s="15"/>
      <c r="GJK3" s="15"/>
      <c r="GJL3" s="15"/>
      <c r="GJM3" s="15"/>
      <c r="GJN3" s="15"/>
      <c r="GJO3" s="15"/>
      <c r="GJP3" s="15"/>
      <c r="GJQ3" s="15"/>
      <c r="GJR3" s="15"/>
      <c r="GJS3" s="15"/>
      <c r="GJT3" s="15"/>
      <c r="GJU3" s="15"/>
      <c r="GJV3" s="15"/>
      <c r="GJW3" s="15"/>
      <c r="GJX3" s="15"/>
      <c r="GJY3" s="15"/>
      <c r="GJZ3" s="15"/>
      <c r="GKA3" s="15"/>
      <c r="GKB3" s="15"/>
      <c r="GKC3" s="15"/>
      <c r="GKD3" s="15"/>
      <c r="GKE3" s="15"/>
      <c r="GKF3" s="15"/>
      <c r="GKG3" s="15"/>
      <c r="GKH3" s="15"/>
      <c r="GKI3" s="15"/>
      <c r="GKJ3" s="15"/>
      <c r="GKK3" s="15"/>
      <c r="GKL3" s="15"/>
      <c r="GKM3" s="15"/>
      <c r="GKN3" s="15"/>
      <c r="GKO3" s="15"/>
      <c r="GKP3" s="15"/>
      <c r="GKQ3" s="15"/>
      <c r="GKR3" s="15"/>
      <c r="GKS3" s="15"/>
      <c r="GKT3" s="15"/>
      <c r="GKU3" s="15"/>
      <c r="GKV3" s="15"/>
      <c r="GKW3" s="15"/>
      <c r="GKX3" s="15"/>
      <c r="GKY3" s="15"/>
      <c r="GKZ3" s="15"/>
      <c r="GLA3" s="15"/>
      <c r="GLB3" s="15"/>
      <c r="GLC3" s="15"/>
      <c r="GLD3" s="15"/>
      <c r="GLE3" s="15"/>
      <c r="GLF3" s="15"/>
      <c r="GLG3" s="15"/>
      <c r="GLH3" s="15"/>
      <c r="GLI3" s="15"/>
      <c r="GLJ3" s="15"/>
      <c r="GLK3" s="15"/>
      <c r="GLL3" s="15"/>
      <c r="GLM3" s="15"/>
      <c r="GLN3" s="15"/>
      <c r="GLO3" s="15"/>
      <c r="GLP3" s="15"/>
      <c r="GLQ3" s="15"/>
      <c r="GLR3" s="15"/>
      <c r="GLS3" s="15"/>
      <c r="GLT3" s="15"/>
      <c r="GLU3" s="15"/>
      <c r="GLV3" s="15"/>
      <c r="GLW3" s="15"/>
      <c r="GLX3" s="15"/>
      <c r="GLY3" s="15"/>
      <c r="GLZ3" s="15"/>
      <c r="GMA3" s="15"/>
      <c r="GMB3" s="15"/>
      <c r="GMC3" s="15"/>
      <c r="GMD3" s="15"/>
      <c r="GME3" s="15"/>
      <c r="GMF3" s="15"/>
      <c r="GMG3" s="15"/>
      <c r="GMH3" s="15"/>
      <c r="GMI3" s="15"/>
      <c r="GMJ3" s="15"/>
      <c r="GMK3" s="15"/>
      <c r="GML3" s="15"/>
      <c r="GMM3" s="15"/>
      <c r="GMN3" s="15"/>
      <c r="GMO3" s="15"/>
      <c r="GMP3" s="15"/>
      <c r="GMQ3" s="15"/>
      <c r="GMR3" s="15"/>
      <c r="GMS3" s="15"/>
      <c r="GMT3" s="15"/>
      <c r="GMU3" s="15"/>
      <c r="GMV3" s="15"/>
      <c r="GMW3" s="15"/>
      <c r="GMX3" s="15"/>
      <c r="GMY3" s="15"/>
      <c r="GMZ3" s="15"/>
      <c r="GNA3" s="15"/>
      <c r="GNB3" s="15"/>
      <c r="GNC3" s="15"/>
      <c r="GND3" s="15"/>
      <c r="GNE3" s="15"/>
      <c r="GNF3" s="15"/>
      <c r="GNG3" s="15"/>
      <c r="GNH3" s="15"/>
      <c r="GNI3" s="15"/>
      <c r="GNJ3" s="15"/>
      <c r="GNK3" s="15"/>
      <c r="GNL3" s="15"/>
      <c r="GNM3" s="15"/>
      <c r="GNN3" s="15"/>
      <c r="GNO3" s="15"/>
      <c r="GNP3" s="15"/>
      <c r="GNQ3" s="15"/>
      <c r="GNR3" s="15"/>
      <c r="GNS3" s="15"/>
      <c r="GNT3" s="15"/>
      <c r="GNU3" s="15"/>
      <c r="GNV3" s="15"/>
      <c r="GNW3" s="15"/>
      <c r="GNX3" s="15"/>
      <c r="GNY3" s="15"/>
      <c r="GNZ3" s="15"/>
      <c r="GOA3" s="15"/>
      <c r="GOB3" s="15"/>
      <c r="GOC3" s="15"/>
      <c r="GOD3" s="15"/>
      <c r="GOE3" s="15"/>
      <c r="GOF3" s="15"/>
      <c r="GOG3" s="15"/>
      <c r="GOH3" s="15"/>
      <c r="GOI3" s="15"/>
      <c r="GOJ3" s="15"/>
      <c r="GOK3" s="15"/>
      <c r="GOL3" s="15"/>
      <c r="GOM3" s="15"/>
      <c r="GON3" s="15"/>
      <c r="GOO3" s="15"/>
      <c r="GOP3" s="15"/>
      <c r="GOQ3" s="15"/>
      <c r="GOR3" s="15"/>
      <c r="GOS3" s="15"/>
      <c r="GOT3" s="15"/>
      <c r="GOU3" s="15"/>
      <c r="GOV3" s="15"/>
      <c r="GOW3" s="15"/>
      <c r="GOX3" s="15"/>
      <c r="GOY3" s="15"/>
      <c r="GOZ3" s="15"/>
      <c r="GPA3" s="15"/>
      <c r="GPB3" s="15"/>
      <c r="GPC3" s="15"/>
      <c r="GPD3" s="15"/>
      <c r="GPE3" s="15"/>
      <c r="GPF3" s="15"/>
      <c r="GPG3" s="15"/>
      <c r="GPH3" s="15"/>
      <c r="GPI3" s="15"/>
      <c r="GPJ3" s="15"/>
      <c r="GPK3" s="15"/>
      <c r="GPL3" s="15"/>
      <c r="GPM3" s="15"/>
      <c r="GPN3" s="15"/>
      <c r="GPO3" s="15"/>
      <c r="GPP3" s="15"/>
      <c r="GPQ3" s="15"/>
      <c r="GPR3" s="15"/>
      <c r="GPS3" s="15"/>
      <c r="GPT3" s="15"/>
      <c r="GPU3" s="15"/>
      <c r="GPV3" s="15"/>
      <c r="GPW3" s="15"/>
      <c r="GPX3" s="15"/>
      <c r="GPY3" s="15"/>
      <c r="GPZ3" s="15"/>
      <c r="GQA3" s="15"/>
      <c r="GQB3" s="15"/>
      <c r="GQC3" s="15"/>
      <c r="GQD3" s="15"/>
      <c r="GQE3" s="15"/>
      <c r="GQF3" s="15"/>
      <c r="GQG3" s="15"/>
      <c r="GQH3" s="15"/>
      <c r="GQI3" s="15"/>
      <c r="GQJ3" s="15"/>
      <c r="GQK3" s="15"/>
      <c r="GQL3" s="15"/>
      <c r="GQM3" s="15"/>
      <c r="GQN3" s="15"/>
      <c r="GQO3" s="15"/>
      <c r="GQP3" s="15"/>
      <c r="GQQ3" s="15"/>
      <c r="GQR3" s="15"/>
      <c r="GQS3" s="15"/>
      <c r="GQT3" s="15"/>
      <c r="GQU3" s="15"/>
      <c r="GQV3" s="15"/>
      <c r="GQW3" s="15"/>
      <c r="GQX3" s="15"/>
      <c r="GQY3" s="15"/>
      <c r="GQZ3" s="15"/>
      <c r="GRA3" s="15"/>
      <c r="GRB3" s="15"/>
      <c r="GRC3" s="15"/>
      <c r="GRD3" s="15"/>
      <c r="GRE3" s="15"/>
      <c r="GRF3" s="15"/>
      <c r="GRG3" s="15"/>
      <c r="GRH3" s="15"/>
      <c r="GRI3" s="15"/>
      <c r="GRJ3" s="15"/>
      <c r="GRK3" s="15"/>
      <c r="GRL3" s="15"/>
      <c r="GRM3" s="15"/>
      <c r="GRN3" s="15"/>
      <c r="GRO3" s="15"/>
      <c r="GRP3" s="15"/>
      <c r="GRQ3" s="15"/>
      <c r="GRR3" s="15"/>
      <c r="GRS3" s="15"/>
      <c r="GRT3" s="15"/>
      <c r="GRU3" s="15"/>
      <c r="GRV3" s="15"/>
      <c r="GRW3" s="15"/>
      <c r="GRX3" s="15"/>
      <c r="GRY3" s="15"/>
      <c r="GRZ3" s="15"/>
      <c r="GSA3" s="15"/>
      <c r="GSB3" s="15"/>
      <c r="GSC3" s="15"/>
      <c r="GSD3" s="15"/>
      <c r="GSE3" s="15"/>
      <c r="GSF3" s="15"/>
      <c r="GSG3" s="15"/>
      <c r="GSH3" s="15"/>
      <c r="GSI3" s="15"/>
      <c r="GSJ3" s="15"/>
      <c r="GSK3" s="15"/>
      <c r="GSL3" s="15"/>
      <c r="GSM3" s="15"/>
      <c r="GSN3" s="15"/>
      <c r="GSO3" s="15"/>
      <c r="GSP3" s="15"/>
      <c r="GSQ3" s="15"/>
      <c r="GSR3" s="15"/>
      <c r="GSS3" s="15"/>
      <c r="GST3" s="15"/>
      <c r="GSU3" s="15"/>
      <c r="GSV3" s="15"/>
      <c r="GSW3" s="15"/>
      <c r="GSX3" s="15"/>
      <c r="GSY3" s="15"/>
      <c r="GSZ3" s="15"/>
      <c r="GTA3" s="15"/>
      <c r="GTB3" s="15"/>
      <c r="GTC3" s="15"/>
      <c r="GTD3" s="15"/>
      <c r="GTE3" s="15"/>
      <c r="GTF3" s="15"/>
      <c r="GTG3" s="15"/>
      <c r="GTH3" s="15"/>
      <c r="GTI3" s="15"/>
      <c r="GTJ3" s="15"/>
      <c r="GTK3" s="15"/>
      <c r="GTL3" s="15"/>
      <c r="GTM3" s="15"/>
      <c r="GTN3" s="15"/>
      <c r="GTO3" s="15"/>
      <c r="GTP3" s="15"/>
      <c r="GTQ3" s="15"/>
      <c r="GTR3" s="15"/>
      <c r="GTS3" s="15"/>
      <c r="GTT3" s="15"/>
      <c r="GTU3" s="15"/>
      <c r="GTV3" s="15"/>
      <c r="GTW3" s="15"/>
      <c r="GTX3" s="15"/>
      <c r="GTY3" s="15"/>
      <c r="GTZ3" s="15"/>
      <c r="GUA3" s="15"/>
      <c r="GUB3" s="15"/>
      <c r="GUC3" s="15"/>
      <c r="GUD3" s="15"/>
      <c r="GUE3" s="15"/>
      <c r="GUF3" s="15"/>
      <c r="GUG3" s="15"/>
      <c r="GUH3" s="15"/>
      <c r="GUI3" s="15"/>
      <c r="GUJ3" s="15"/>
      <c r="GUK3" s="15"/>
      <c r="GUL3" s="15"/>
      <c r="GUM3" s="15"/>
      <c r="GUN3" s="15"/>
      <c r="GUO3" s="15"/>
      <c r="GUP3" s="15"/>
      <c r="GUQ3" s="15"/>
      <c r="GUR3" s="15"/>
      <c r="GUS3" s="15"/>
      <c r="GUT3" s="15"/>
      <c r="GUU3" s="15"/>
      <c r="GUV3" s="15"/>
      <c r="GUW3" s="15"/>
      <c r="GUX3" s="15"/>
      <c r="GUY3" s="15"/>
      <c r="GUZ3" s="15"/>
      <c r="GVA3" s="15"/>
      <c r="GVB3" s="15"/>
      <c r="GVC3" s="15"/>
      <c r="GVD3" s="15"/>
      <c r="GVE3" s="15"/>
      <c r="GVF3" s="15"/>
      <c r="GVG3" s="15"/>
      <c r="GVH3" s="15"/>
      <c r="GVI3" s="15"/>
      <c r="GVJ3" s="15"/>
      <c r="GVK3" s="15"/>
      <c r="GVL3" s="15"/>
      <c r="GVM3" s="15"/>
      <c r="GVN3" s="15"/>
      <c r="GVO3" s="15"/>
      <c r="GVP3" s="15"/>
      <c r="GVQ3" s="15"/>
      <c r="GVR3" s="15"/>
      <c r="GVS3" s="15"/>
      <c r="GVT3" s="15"/>
      <c r="GVU3" s="15"/>
      <c r="GVV3" s="15"/>
      <c r="GVW3" s="15"/>
      <c r="GVX3" s="15"/>
      <c r="GVY3" s="15"/>
      <c r="GVZ3" s="15"/>
      <c r="GWA3" s="15"/>
      <c r="GWB3" s="15"/>
      <c r="GWC3" s="15"/>
      <c r="GWD3" s="15"/>
      <c r="GWE3" s="15"/>
      <c r="GWF3" s="15"/>
      <c r="GWG3" s="15"/>
      <c r="GWH3" s="15"/>
      <c r="GWI3" s="15"/>
      <c r="GWJ3" s="15"/>
      <c r="GWK3" s="15"/>
      <c r="GWL3" s="15"/>
      <c r="GWM3" s="15"/>
      <c r="GWN3" s="15"/>
      <c r="GWO3" s="15"/>
      <c r="GWP3" s="15"/>
      <c r="GWQ3" s="15"/>
      <c r="GWR3" s="15"/>
      <c r="GWS3" s="15"/>
      <c r="GWT3" s="15"/>
      <c r="GWU3" s="15"/>
      <c r="GWV3" s="15"/>
      <c r="GWW3" s="15"/>
      <c r="GWX3" s="15"/>
      <c r="GWY3" s="15"/>
      <c r="GWZ3" s="15"/>
      <c r="GXA3" s="15"/>
      <c r="GXB3" s="15"/>
      <c r="GXC3" s="15"/>
      <c r="GXD3" s="15"/>
      <c r="GXE3" s="15"/>
      <c r="GXF3" s="15"/>
      <c r="GXG3" s="15"/>
      <c r="GXH3" s="15"/>
      <c r="GXI3" s="15"/>
      <c r="GXJ3" s="15"/>
      <c r="GXK3" s="15"/>
      <c r="GXL3" s="15"/>
      <c r="GXM3" s="15"/>
      <c r="GXN3" s="15"/>
      <c r="GXO3" s="15"/>
      <c r="GXP3" s="15"/>
      <c r="GXQ3" s="15"/>
      <c r="GXR3" s="15"/>
      <c r="GXS3" s="15"/>
      <c r="GXT3" s="15"/>
      <c r="GXU3" s="15"/>
      <c r="GXV3" s="15"/>
      <c r="GXW3" s="15"/>
      <c r="GXX3" s="15"/>
      <c r="GXY3" s="15"/>
      <c r="GXZ3" s="15"/>
      <c r="GYA3" s="15"/>
      <c r="GYB3" s="15"/>
      <c r="GYC3" s="15"/>
      <c r="GYD3" s="15"/>
      <c r="GYE3" s="15"/>
      <c r="GYF3" s="15"/>
      <c r="GYG3" s="15"/>
      <c r="GYH3" s="15"/>
      <c r="GYI3" s="15"/>
      <c r="GYJ3" s="15"/>
      <c r="GYK3" s="15"/>
      <c r="GYL3" s="15"/>
      <c r="GYM3" s="15"/>
      <c r="GYN3" s="15"/>
      <c r="GYO3" s="15"/>
      <c r="GYP3" s="15"/>
      <c r="GYQ3" s="15"/>
      <c r="GYR3" s="15"/>
      <c r="GYS3" s="15"/>
      <c r="GYT3" s="15"/>
      <c r="GYU3" s="15"/>
      <c r="GYV3" s="15"/>
      <c r="GYW3" s="15"/>
      <c r="GYX3" s="15"/>
      <c r="GYY3" s="15"/>
      <c r="GYZ3" s="15"/>
      <c r="GZA3" s="15"/>
      <c r="GZB3" s="15"/>
      <c r="GZC3" s="15"/>
      <c r="GZD3" s="15"/>
      <c r="GZE3" s="15"/>
      <c r="GZF3" s="15"/>
      <c r="GZG3" s="15"/>
      <c r="GZH3" s="15"/>
      <c r="GZI3" s="15"/>
      <c r="GZJ3" s="15"/>
      <c r="GZK3" s="15"/>
      <c r="GZL3" s="15"/>
      <c r="GZM3" s="15"/>
      <c r="GZN3" s="15"/>
      <c r="GZO3" s="15"/>
      <c r="GZP3" s="15"/>
      <c r="GZQ3" s="15"/>
      <c r="GZR3" s="15"/>
      <c r="GZS3" s="15"/>
      <c r="GZT3" s="15"/>
      <c r="GZU3" s="15"/>
      <c r="GZV3" s="15"/>
      <c r="GZW3" s="15"/>
      <c r="GZX3" s="15"/>
      <c r="GZY3" s="15"/>
      <c r="GZZ3" s="15"/>
      <c r="HAA3" s="15"/>
      <c r="HAB3" s="15"/>
      <c r="HAC3" s="15"/>
      <c r="HAD3" s="15"/>
      <c r="HAE3" s="15"/>
      <c r="HAF3" s="15"/>
      <c r="HAG3" s="15"/>
      <c r="HAH3" s="15"/>
      <c r="HAI3" s="15"/>
      <c r="HAJ3" s="15"/>
      <c r="HAK3" s="15"/>
      <c r="HAL3" s="15"/>
      <c r="HAM3" s="15"/>
      <c r="HAN3" s="15"/>
      <c r="HAO3" s="15"/>
      <c r="HAP3" s="15"/>
      <c r="HAQ3" s="15"/>
      <c r="HAR3" s="15"/>
      <c r="HAS3" s="15"/>
      <c r="HAT3" s="15"/>
      <c r="HAU3" s="15"/>
      <c r="HAV3" s="15"/>
      <c r="HAW3" s="15"/>
      <c r="HAX3" s="15"/>
      <c r="HAY3" s="15"/>
      <c r="HAZ3" s="15"/>
      <c r="HBA3" s="15"/>
      <c r="HBB3" s="15"/>
      <c r="HBC3" s="15"/>
      <c r="HBD3" s="15"/>
      <c r="HBE3" s="15"/>
      <c r="HBF3" s="15"/>
      <c r="HBG3" s="15"/>
      <c r="HBH3" s="15"/>
      <c r="HBI3" s="15"/>
      <c r="HBJ3" s="15"/>
      <c r="HBK3" s="15"/>
      <c r="HBL3" s="15"/>
      <c r="HBM3" s="15"/>
      <c r="HBN3" s="15"/>
      <c r="HBO3" s="15"/>
      <c r="HBP3" s="15"/>
      <c r="HBQ3" s="15"/>
      <c r="HBR3" s="15"/>
      <c r="HBS3" s="15"/>
      <c r="HBT3" s="15"/>
      <c r="HBU3" s="15"/>
      <c r="HBV3" s="15"/>
      <c r="HBW3" s="15"/>
      <c r="HBX3" s="15"/>
      <c r="HBY3" s="15"/>
      <c r="HBZ3" s="15"/>
      <c r="HCA3" s="15"/>
      <c r="HCB3" s="15"/>
      <c r="HCC3" s="15"/>
      <c r="HCD3" s="15"/>
      <c r="HCE3" s="15"/>
      <c r="HCF3" s="15"/>
      <c r="HCG3" s="15"/>
      <c r="HCH3" s="15"/>
      <c r="HCI3" s="15"/>
      <c r="HCJ3" s="15"/>
      <c r="HCK3" s="15"/>
      <c r="HCL3" s="15"/>
      <c r="HCM3" s="15"/>
      <c r="HCN3" s="15"/>
      <c r="HCO3" s="15"/>
      <c r="HCP3" s="15"/>
      <c r="HCQ3" s="15"/>
      <c r="HCR3" s="15"/>
      <c r="HCS3" s="15"/>
      <c r="HCT3" s="15"/>
      <c r="HCU3" s="15"/>
      <c r="HCV3" s="15"/>
      <c r="HCW3" s="15"/>
      <c r="HCX3" s="15"/>
      <c r="HCY3" s="15"/>
      <c r="HCZ3" s="15"/>
      <c r="HDA3" s="15"/>
      <c r="HDB3" s="15"/>
      <c r="HDC3" s="15"/>
      <c r="HDD3" s="15"/>
      <c r="HDE3" s="15"/>
      <c r="HDF3" s="15"/>
      <c r="HDG3" s="15"/>
      <c r="HDH3" s="15"/>
      <c r="HDI3" s="15"/>
      <c r="HDJ3" s="15"/>
      <c r="HDK3" s="15"/>
      <c r="HDL3" s="15"/>
      <c r="HDM3" s="15"/>
      <c r="HDN3" s="15"/>
      <c r="HDO3" s="15"/>
      <c r="HDP3" s="15"/>
      <c r="HDQ3" s="15"/>
      <c r="HDR3" s="15"/>
      <c r="HDS3" s="15"/>
      <c r="HDT3" s="15"/>
      <c r="HDU3" s="15"/>
      <c r="HDV3" s="15"/>
      <c r="HDW3" s="15"/>
      <c r="HDX3" s="15"/>
      <c r="HDY3" s="15"/>
      <c r="HDZ3" s="15"/>
      <c r="HEA3" s="15"/>
      <c r="HEB3" s="15"/>
      <c r="HEC3" s="15"/>
      <c r="HED3" s="15"/>
      <c r="HEE3" s="15"/>
      <c r="HEF3" s="15"/>
      <c r="HEG3" s="15"/>
      <c r="HEH3" s="15"/>
      <c r="HEI3" s="15"/>
      <c r="HEJ3" s="15"/>
      <c r="HEK3" s="15"/>
      <c r="HEL3" s="15"/>
      <c r="HEM3" s="15"/>
      <c r="HEN3" s="15"/>
      <c r="HEO3" s="15"/>
      <c r="HEP3" s="15"/>
      <c r="HEQ3" s="15"/>
      <c r="HER3" s="15"/>
      <c r="HES3" s="15"/>
      <c r="HET3" s="15"/>
      <c r="HEU3" s="15"/>
      <c r="HEV3" s="15"/>
      <c r="HEW3" s="15"/>
      <c r="HEX3" s="15"/>
      <c r="HEY3" s="15"/>
      <c r="HEZ3" s="15"/>
      <c r="HFA3" s="15"/>
      <c r="HFB3" s="15"/>
      <c r="HFC3" s="15"/>
      <c r="HFD3" s="15"/>
      <c r="HFE3" s="15"/>
      <c r="HFF3" s="15"/>
      <c r="HFG3" s="15"/>
      <c r="HFH3" s="15"/>
      <c r="HFI3" s="15"/>
      <c r="HFJ3" s="15"/>
      <c r="HFK3" s="15"/>
      <c r="HFL3" s="15"/>
      <c r="HFM3" s="15"/>
      <c r="HFN3" s="15"/>
      <c r="HFO3" s="15"/>
      <c r="HFP3" s="15"/>
      <c r="HFQ3" s="15"/>
      <c r="HFR3" s="15"/>
      <c r="HFS3" s="15"/>
      <c r="HFT3" s="15"/>
      <c r="HFU3" s="15"/>
      <c r="HFV3" s="15"/>
      <c r="HFW3" s="15"/>
      <c r="HFX3" s="15"/>
      <c r="HFY3" s="15"/>
      <c r="HFZ3" s="15"/>
      <c r="HGA3" s="15"/>
      <c r="HGB3" s="15"/>
      <c r="HGC3" s="15"/>
      <c r="HGD3" s="15"/>
      <c r="HGE3" s="15"/>
      <c r="HGF3" s="15"/>
      <c r="HGG3" s="15"/>
      <c r="HGH3" s="15"/>
      <c r="HGI3" s="15"/>
      <c r="HGJ3" s="15"/>
      <c r="HGK3" s="15"/>
      <c r="HGL3" s="15"/>
      <c r="HGM3" s="15"/>
      <c r="HGN3" s="15"/>
      <c r="HGO3" s="15"/>
      <c r="HGP3" s="15"/>
      <c r="HGQ3" s="15"/>
      <c r="HGR3" s="15"/>
      <c r="HGS3" s="15"/>
      <c r="HGT3" s="15"/>
      <c r="HGU3" s="15"/>
      <c r="HGV3" s="15"/>
      <c r="HGW3" s="15"/>
      <c r="HGX3" s="15"/>
      <c r="HGY3" s="15"/>
      <c r="HGZ3" s="15"/>
      <c r="HHA3" s="15"/>
      <c r="HHB3" s="15"/>
      <c r="HHC3" s="15"/>
      <c r="HHD3" s="15"/>
      <c r="HHE3" s="15"/>
      <c r="HHF3" s="15"/>
      <c r="HHG3" s="15"/>
      <c r="HHH3" s="15"/>
      <c r="HHI3" s="15"/>
      <c r="HHJ3" s="15"/>
      <c r="HHK3" s="15"/>
      <c r="HHL3" s="15"/>
      <c r="HHM3" s="15"/>
      <c r="HHN3" s="15"/>
      <c r="HHO3" s="15"/>
      <c r="HHP3" s="15"/>
      <c r="HHQ3" s="15"/>
      <c r="HHR3" s="15"/>
      <c r="HHS3" s="15"/>
      <c r="HHT3" s="15"/>
      <c r="HHU3" s="15"/>
      <c r="HHV3" s="15"/>
      <c r="HHW3" s="15"/>
      <c r="HHX3" s="15"/>
      <c r="HHY3" s="15"/>
      <c r="HHZ3" s="15"/>
      <c r="HIA3" s="15"/>
      <c r="HIB3" s="15"/>
      <c r="HIC3" s="15"/>
      <c r="HID3" s="15"/>
      <c r="HIE3" s="15"/>
      <c r="HIF3" s="15"/>
      <c r="HIG3" s="15"/>
      <c r="HIH3" s="15"/>
      <c r="HII3" s="15"/>
      <c r="HIJ3" s="15"/>
      <c r="HIK3" s="15"/>
      <c r="HIL3" s="15"/>
      <c r="HIM3" s="15"/>
      <c r="HIN3" s="15"/>
      <c r="HIO3" s="15"/>
      <c r="HIP3" s="15"/>
      <c r="HIQ3" s="15"/>
      <c r="HIR3" s="15"/>
      <c r="HIS3" s="15"/>
      <c r="HIT3" s="15"/>
      <c r="HIU3" s="15"/>
      <c r="HIV3" s="15"/>
      <c r="HIW3" s="15"/>
      <c r="HIX3" s="15"/>
      <c r="HIY3" s="15"/>
      <c r="HIZ3" s="15"/>
      <c r="HJA3" s="15"/>
      <c r="HJB3" s="15"/>
      <c r="HJC3" s="15"/>
      <c r="HJD3" s="15"/>
      <c r="HJE3" s="15"/>
      <c r="HJF3" s="15"/>
      <c r="HJG3" s="15"/>
      <c r="HJH3" s="15"/>
      <c r="HJI3" s="15"/>
      <c r="HJJ3" s="15"/>
      <c r="HJK3" s="15"/>
      <c r="HJL3" s="15"/>
      <c r="HJM3" s="15"/>
      <c r="HJN3" s="15"/>
      <c r="HJO3" s="15"/>
      <c r="HJP3" s="15"/>
      <c r="HJQ3" s="15"/>
      <c r="HJR3" s="15"/>
      <c r="HJS3" s="15"/>
      <c r="HJT3" s="15"/>
      <c r="HJU3" s="15"/>
      <c r="HJV3" s="15"/>
      <c r="HJW3" s="15"/>
      <c r="HJX3" s="15"/>
      <c r="HJY3" s="15"/>
      <c r="HJZ3" s="15"/>
      <c r="HKA3" s="15"/>
      <c r="HKB3" s="15"/>
      <c r="HKC3" s="15"/>
      <c r="HKD3" s="15"/>
      <c r="HKE3" s="15"/>
      <c r="HKF3" s="15"/>
      <c r="HKG3" s="15"/>
      <c r="HKH3" s="15"/>
      <c r="HKI3" s="15"/>
      <c r="HKJ3" s="15"/>
      <c r="HKK3" s="15"/>
      <c r="HKL3" s="15"/>
      <c r="HKM3" s="15"/>
      <c r="HKN3" s="15"/>
      <c r="HKO3" s="15"/>
      <c r="HKP3" s="15"/>
      <c r="HKQ3" s="15"/>
      <c r="HKR3" s="15"/>
      <c r="HKS3" s="15"/>
      <c r="HKT3" s="15"/>
      <c r="HKU3" s="15"/>
      <c r="HKV3" s="15"/>
      <c r="HKW3" s="15"/>
      <c r="HKX3" s="15"/>
      <c r="HKY3" s="15"/>
      <c r="HKZ3" s="15"/>
      <c r="HLA3" s="15"/>
      <c r="HLB3" s="15"/>
      <c r="HLC3" s="15"/>
      <c r="HLD3" s="15"/>
      <c r="HLE3" s="15"/>
      <c r="HLF3" s="15"/>
      <c r="HLG3" s="15"/>
      <c r="HLH3" s="15"/>
      <c r="HLI3" s="15"/>
      <c r="HLJ3" s="15"/>
      <c r="HLK3" s="15"/>
      <c r="HLL3" s="15"/>
      <c r="HLM3" s="15"/>
      <c r="HLN3" s="15"/>
      <c r="HLO3" s="15"/>
      <c r="HLP3" s="15"/>
      <c r="HLQ3" s="15"/>
      <c r="HLR3" s="15"/>
      <c r="HLS3" s="15"/>
      <c r="HLT3" s="15"/>
      <c r="HLU3" s="15"/>
      <c r="HLV3" s="15"/>
      <c r="HLW3" s="15"/>
      <c r="HLX3" s="15"/>
      <c r="HLY3" s="15"/>
      <c r="HLZ3" s="15"/>
      <c r="HMA3" s="15"/>
      <c r="HMB3" s="15"/>
      <c r="HMC3" s="15"/>
      <c r="HMD3" s="15"/>
      <c r="HME3" s="15"/>
      <c r="HMF3" s="15"/>
      <c r="HMG3" s="15"/>
      <c r="HMH3" s="15"/>
      <c r="HMI3" s="15"/>
      <c r="HMJ3" s="15"/>
      <c r="HMK3" s="15"/>
      <c r="HML3" s="15"/>
      <c r="HMM3" s="15"/>
      <c r="HMN3" s="15"/>
      <c r="HMO3" s="15"/>
      <c r="HMP3" s="15"/>
      <c r="HMQ3" s="15"/>
      <c r="HMR3" s="15"/>
      <c r="HMS3" s="15"/>
      <c r="HMT3" s="15"/>
      <c r="HMU3" s="15"/>
      <c r="HMV3" s="15"/>
      <c r="HMW3" s="15"/>
      <c r="HMX3" s="15"/>
      <c r="HMY3" s="15"/>
      <c r="HMZ3" s="15"/>
      <c r="HNA3" s="15"/>
      <c r="HNB3" s="15"/>
      <c r="HNC3" s="15"/>
      <c r="HND3" s="15"/>
      <c r="HNE3" s="15"/>
      <c r="HNF3" s="15"/>
      <c r="HNG3" s="15"/>
      <c r="HNH3" s="15"/>
      <c r="HNI3" s="15"/>
      <c r="HNJ3" s="15"/>
      <c r="HNK3" s="15"/>
      <c r="HNL3" s="15"/>
      <c r="HNM3" s="15"/>
      <c r="HNN3" s="15"/>
      <c r="HNO3" s="15"/>
      <c r="HNP3" s="15"/>
      <c r="HNQ3" s="15"/>
      <c r="HNR3" s="15"/>
      <c r="HNS3" s="15"/>
      <c r="HNT3" s="15"/>
      <c r="HNU3" s="15"/>
      <c r="HNV3" s="15"/>
      <c r="HNW3" s="15"/>
      <c r="HNX3" s="15"/>
      <c r="HNY3" s="15"/>
      <c r="HNZ3" s="15"/>
      <c r="HOA3" s="15"/>
      <c r="HOB3" s="15"/>
      <c r="HOC3" s="15"/>
      <c r="HOD3" s="15"/>
      <c r="HOE3" s="15"/>
      <c r="HOF3" s="15"/>
      <c r="HOG3" s="15"/>
      <c r="HOH3" s="15"/>
      <c r="HOI3" s="15"/>
      <c r="HOJ3" s="15"/>
      <c r="HOK3" s="15"/>
      <c r="HOL3" s="15"/>
      <c r="HOM3" s="15"/>
      <c r="HON3" s="15"/>
      <c r="HOO3" s="15"/>
      <c r="HOP3" s="15"/>
      <c r="HOQ3" s="15"/>
      <c r="HOR3" s="15"/>
      <c r="HOS3" s="15"/>
      <c r="HOT3" s="15"/>
      <c r="HOU3" s="15"/>
      <c r="HOV3" s="15"/>
      <c r="HOW3" s="15"/>
      <c r="HOX3" s="15"/>
      <c r="HOY3" s="15"/>
      <c r="HOZ3" s="15"/>
      <c r="HPA3" s="15"/>
      <c r="HPB3" s="15"/>
      <c r="HPC3" s="15"/>
      <c r="HPD3" s="15"/>
      <c r="HPE3" s="15"/>
      <c r="HPF3" s="15"/>
      <c r="HPG3" s="15"/>
      <c r="HPH3" s="15"/>
      <c r="HPI3" s="15"/>
      <c r="HPJ3" s="15"/>
      <c r="HPK3" s="15"/>
      <c r="HPL3" s="15"/>
      <c r="HPM3" s="15"/>
      <c r="HPN3" s="15"/>
      <c r="HPO3" s="15"/>
      <c r="HPP3" s="15"/>
      <c r="HPQ3" s="15"/>
      <c r="HPR3" s="15"/>
      <c r="HPS3" s="15"/>
      <c r="HPT3" s="15"/>
      <c r="HPU3" s="15"/>
      <c r="HPV3" s="15"/>
      <c r="HPW3" s="15"/>
      <c r="HPX3" s="15"/>
      <c r="HPY3" s="15"/>
      <c r="HPZ3" s="15"/>
      <c r="HQA3" s="15"/>
      <c r="HQB3" s="15"/>
      <c r="HQC3" s="15"/>
      <c r="HQD3" s="15"/>
      <c r="HQE3" s="15"/>
      <c r="HQF3" s="15"/>
      <c r="HQG3" s="15"/>
      <c r="HQH3" s="15"/>
      <c r="HQI3" s="15"/>
      <c r="HQJ3" s="15"/>
      <c r="HQK3" s="15"/>
      <c r="HQL3" s="15"/>
      <c r="HQM3" s="15"/>
      <c r="HQN3" s="15"/>
      <c r="HQO3" s="15"/>
      <c r="HQP3" s="15"/>
      <c r="HQQ3" s="15"/>
      <c r="HQR3" s="15"/>
      <c r="HQS3" s="15"/>
      <c r="HQT3" s="15"/>
      <c r="HQU3" s="15"/>
      <c r="HQV3" s="15"/>
      <c r="HQW3" s="15"/>
      <c r="HQX3" s="15"/>
      <c r="HQY3" s="15"/>
      <c r="HQZ3" s="15"/>
      <c r="HRA3" s="15"/>
      <c r="HRB3" s="15"/>
      <c r="HRC3" s="15"/>
      <c r="HRD3" s="15"/>
      <c r="HRE3" s="15"/>
      <c r="HRF3" s="15"/>
      <c r="HRG3" s="15"/>
      <c r="HRH3" s="15"/>
      <c r="HRI3" s="15"/>
      <c r="HRJ3" s="15"/>
      <c r="HRK3" s="15"/>
      <c r="HRL3" s="15"/>
      <c r="HRM3" s="15"/>
      <c r="HRN3" s="15"/>
      <c r="HRO3" s="15"/>
      <c r="HRP3" s="15"/>
      <c r="HRQ3" s="15"/>
      <c r="HRR3" s="15"/>
      <c r="HRS3" s="15"/>
      <c r="HRT3" s="15"/>
      <c r="HRU3" s="15"/>
      <c r="HRV3" s="15"/>
      <c r="HRW3" s="15"/>
      <c r="HRX3" s="15"/>
      <c r="HRY3" s="15"/>
      <c r="HRZ3" s="15"/>
      <c r="HSA3" s="15"/>
      <c r="HSB3" s="15"/>
      <c r="HSC3" s="15"/>
      <c r="HSD3" s="15"/>
      <c r="HSE3" s="15"/>
      <c r="HSF3" s="15"/>
      <c r="HSG3" s="15"/>
      <c r="HSH3" s="15"/>
      <c r="HSI3" s="15"/>
      <c r="HSJ3" s="15"/>
      <c r="HSK3" s="15"/>
      <c r="HSL3" s="15"/>
      <c r="HSM3" s="15"/>
      <c r="HSN3" s="15"/>
      <c r="HSO3" s="15"/>
      <c r="HSP3" s="15"/>
      <c r="HSQ3" s="15"/>
      <c r="HSR3" s="15"/>
      <c r="HSS3" s="15"/>
      <c r="HST3" s="15"/>
      <c r="HSU3" s="15"/>
      <c r="HSV3" s="15"/>
      <c r="HSW3" s="15"/>
      <c r="HSX3" s="15"/>
      <c r="HSY3" s="15"/>
      <c r="HSZ3" s="15"/>
      <c r="HTA3" s="15"/>
      <c r="HTB3" s="15"/>
      <c r="HTC3" s="15"/>
      <c r="HTD3" s="15"/>
      <c r="HTE3" s="15"/>
      <c r="HTF3" s="15"/>
      <c r="HTG3" s="15"/>
      <c r="HTH3" s="15"/>
      <c r="HTI3" s="15"/>
      <c r="HTJ3" s="15"/>
      <c r="HTK3" s="15"/>
      <c r="HTL3" s="15"/>
      <c r="HTM3" s="15"/>
      <c r="HTN3" s="15"/>
      <c r="HTO3" s="15"/>
      <c r="HTP3" s="15"/>
      <c r="HTQ3" s="15"/>
      <c r="HTR3" s="15"/>
      <c r="HTS3" s="15"/>
      <c r="HTT3" s="15"/>
      <c r="HTU3" s="15"/>
      <c r="HTV3" s="15"/>
      <c r="HTW3" s="15"/>
      <c r="HTX3" s="15"/>
      <c r="HTY3" s="15"/>
      <c r="HTZ3" s="15"/>
      <c r="HUA3" s="15"/>
      <c r="HUB3" s="15"/>
      <c r="HUC3" s="15"/>
      <c r="HUD3" s="15"/>
      <c r="HUE3" s="15"/>
      <c r="HUF3" s="15"/>
      <c r="HUG3" s="15"/>
      <c r="HUH3" s="15"/>
      <c r="HUI3" s="15"/>
      <c r="HUJ3" s="15"/>
      <c r="HUK3" s="15"/>
      <c r="HUL3" s="15"/>
      <c r="HUM3" s="15"/>
      <c r="HUN3" s="15"/>
      <c r="HUO3" s="15"/>
      <c r="HUP3" s="15"/>
      <c r="HUQ3" s="15"/>
      <c r="HUR3" s="15"/>
      <c r="HUS3" s="15"/>
      <c r="HUT3" s="15"/>
      <c r="HUU3" s="15"/>
      <c r="HUV3" s="15"/>
      <c r="HUW3" s="15"/>
      <c r="HUX3" s="15"/>
      <c r="HUY3" s="15"/>
      <c r="HUZ3" s="15"/>
      <c r="HVA3" s="15"/>
      <c r="HVB3" s="15"/>
      <c r="HVC3" s="15"/>
      <c r="HVD3" s="15"/>
      <c r="HVE3" s="15"/>
      <c r="HVF3" s="15"/>
      <c r="HVG3" s="15"/>
      <c r="HVH3" s="15"/>
      <c r="HVI3" s="15"/>
      <c r="HVJ3" s="15"/>
      <c r="HVK3" s="15"/>
      <c r="HVL3" s="15"/>
      <c r="HVM3" s="15"/>
      <c r="HVN3" s="15"/>
      <c r="HVO3" s="15"/>
      <c r="HVP3" s="15"/>
      <c r="HVQ3" s="15"/>
      <c r="HVR3" s="15"/>
      <c r="HVS3" s="15"/>
      <c r="HVT3" s="15"/>
      <c r="HVU3" s="15"/>
      <c r="HVV3" s="15"/>
      <c r="HVW3" s="15"/>
      <c r="HVX3" s="15"/>
      <c r="HVY3" s="15"/>
      <c r="HVZ3" s="15"/>
      <c r="HWA3" s="15"/>
      <c r="HWB3" s="15"/>
      <c r="HWC3" s="15"/>
      <c r="HWD3" s="15"/>
      <c r="HWE3" s="15"/>
      <c r="HWF3" s="15"/>
      <c r="HWG3" s="15"/>
      <c r="HWH3" s="15"/>
      <c r="HWI3" s="15"/>
      <c r="HWJ3" s="15"/>
      <c r="HWK3" s="15"/>
      <c r="HWL3" s="15"/>
      <c r="HWM3" s="15"/>
      <c r="HWN3" s="15"/>
      <c r="HWO3" s="15"/>
      <c r="HWP3" s="15"/>
      <c r="HWQ3" s="15"/>
      <c r="HWR3" s="15"/>
      <c r="HWS3" s="15"/>
      <c r="HWT3" s="15"/>
      <c r="HWU3" s="15"/>
      <c r="HWV3" s="15"/>
      <c r="HWW3" s="15"/>
      <c r="HWX3" s="15"/>
      <c r="HWY3" s="15"/>
      <c r="HWZ3" s="15"/>
      <c r="HXA3" s="15"/>
      <c r="HXB3" s="15"/>
      <c r="HXC3" s="15"/>
      <c r="HXD3" s="15"/>
      <c r="HXE3" s="15"/>
      <c r="HXF3" s="15"/>
      <c r="HXG3" s="15"/>
      <c r="HXH3" s="15"/>
      <c r="HXI3" s="15"/>
      <c r="HXJ3" s="15"/>
      <c r="HXK3" s="15"/>
      <c r="HXL3" s="15"/>
      <c r="HXM3" s="15"/>
      <c r="HXN3" s="15"/>
      <c r="HXO3" s="15"/>
      <c r="HXP3" s="15"/>
      <c r="HXQ3" s="15"/>
      <c r="HXR3" s="15"/>
      <c r="HXS3" s="15"/>
      <c r="HXT3" s="15"/>
      <c r="HXU3" s="15"/>
      <c r="HXV3" s="15"/>
      <c r="HXW3" s="15"/>
      <c r="HXX3" s="15"/>
      <c r="HXY3" s="15"/>
      <c r="HXZ3" s="15"/>
      <c r="HYA3" s="15"/>
      <c r="HYB3" s="15"/>
      <c r="HYC3" s="15"/>
      <c r="HYD3" s="15"/>
      <c r="HYE3" s="15"/>
      <c r="HYF3" s="15"/>
      <c r="HYG3" s="15"/>
      <c r="HYH3" s="15"/>
      <c r="HYI3" s="15"/>
      <c r="HYJ3" s="15"/>
      <c r="HYK3" s="15"/>
      <c r="HYL3" s="15"/>
      <c r="HYM3" s="15"/>
      <c r="HYN3" s="15"/>
      <c r="HYO3" s="15"/>
      <c r="HYP3" s="15"/>
      <c r="HYQ3" s="15"/>
      <c r="HYR3" s="15"/>
      <c r="HYS3" s="15"/>
      <c r="HYT3" s="15"/>
      <c r="HYU3" s="15"/>
      <c r="HYV3" s="15"/>
      <c r="HYW3" s="15"/>
      <c r="HYX3" s="15"/>
      <c r="HYY3" s="15"/>
      <c r="HYZ3" s="15"/>
      <c r="HZA3" s="15"/>
      <c r="HZB3" s="15"/>
      <c r="HZC3" s="15"/>
      <c r="HZD3" s="15"/>
      <c r="HZE3" s="15"/>
      <c r="HZF3" s="15"/>
      <c r="HZG3" s="15"/>
      <c r="HZH3" s="15"/>
      <c r="HZI3" s="15"/>
      <c r="HZJ3" s="15"/>
      <c r="HZK3" s="15"/>
      <c r="HZL3" s="15"/>
      <c r="HZM3" s="15"/>
      <c r="HZN3" s="15"/>
      <c r="HZO3" s="15"/>
      <c r="HZP3" s="15"/>
      <c r="HZQ3" s="15"/>
      <c r="HZR3" s="15"/>
      <c r="HZS3" s="15"/>
      <c r="HZT3" s="15"/>
      <c r="HZU3" s="15"/>
      <c r="HZV3" s="15"/>
      <c r="HZW3" s="15"/>
      <c r="HZX3" s="15"/>
      <c r="HZY3" s="15"/>
      <c r="HZZ3" s="15"/>
      <c r="IAA3" s="15"/>
      <c r="IAB3" s="15"/>
      <c r="IAC3" s="15"/>
      <c r="IAD3" s="15"/>
      <c r="IAE3" s="15"/>
      <c r="IAF3" s="15"/>
      <c r="IAG3" s="15"/>
      <c r="IAH3" s="15"/>
      <c r="IAI3" s="15"/>
      <c r="IAJ3" s="15"/>
      <c r="IAK3" s="15"/>
      <c r="IAL3" s="15"/>
      <c r="IAM3" s="15"/>
      <c r="IAN3" s="15"/>
      <c r="IAO3" s="15"/>
      <c r="IAP3" s="15"/>
      <c r="IAQ3" s="15"/>
      <c r="IAR3" s="15"/>
      <c r="IAS3" s="15"/>
      <c r="IAT3" s="15"/>
      <c r="IAU3" s="15"/>
      <c r="IAV3" s="15"/>
      <c r="IAW3" s="15"/>
      <c r="IAX3" s="15"/>
      <c r="IAY3" s="15"/>
      <c r="IAZ3" s="15"/>
      <c r="IBA3" s="15"/>
      <c r="IBB3" s="15"/>
      <c r="IBC3" s="15"/>
      <c r="IBD3" s="15"/>
      <c r="IBE3" s="15"/>
      <c r="IBF3" s="15"/>
      <c r="IBG3" s="15"/>
      <c r="IBH3" s="15"/>
      <c r="IBI3" s="15"/>
      <c r="IBJ3" s="15"/>
      <c r="IBK3" s="15"/>
      <c r="IBL3" s="15"/>
      <c r="IBM3" s="15"/>
      <c r="IBN3" s="15"/>
      <c r="IBO3" s="15"/>
      <c r="IBP3" s="15"/>
      <c r="IBQ3" s="15"/>
      <c r="IBR3" s="15"/>
      <c r="IBS3" s="15"/>
      <c r="IBT3" s="15"/>
      <c r="IBU3" s="15"/>
      <c r="IBV3" s="15"/>
      <c r="IBW3" s="15"/>
      <c r="IBX3" s="15"/>
      <c r="IBY3" s="15"/>
      <c r="IBZ3" s="15"/>
      <c r="ICA3" s="15"/>
      <c r="ICB3" s="15"/>
      <c r="ICC3" s="15"/>
      <c r="ICD3" s="15"/>
      <c r="ICE3" s="15"/>
      <c r="ICF3" s="15"/>
      <c r="ICG3" s="15"/>
      <c r="ICH3" s="15"/>
      <c r="ICI3" s="15"/>
      <c r="ICJ3" s="15"/>
      <c r="ICK3" s="15"/>
      <c r="ICL3" s="15"/>
      <c r="ICM3" s="15"/>
      <c r="ICN3" s="15"/>
      <c r="ICO3" s="15"/>
      <c r="ICP3" s="15"/>
      <c r="ICQ3" s="15"/>
      <c r="ICR3" s="15"/>
      <c r="ICS3" s="15"/>
      <c r="ICT3" s="15"/>
      <c r="ICU3" s="15"/>
      <c r="ICV3" s="15"/>
      <c r="ICW3" s="15"/>
      <c r="ICX3" s="15"/>
      <c r="ICY3" s="15"/>
      <c r="ICZ3" s="15"/>
      <c r="IDA3" s="15"/>
      <c r="IDB3" s="15"/>
      <c r="IDC3" s="15"/>
      <c r="IDD3" s="15"/>
      <c r="IDE3" s="15"/>
      <c r="IDF3" s="15"/>
      <c r="IDG3" s="15"/>
      <c r="IDH3" s="15"/>
      <c r="IDI3" s="15"/>
      <c r="IDJ3" s="15"/>
      <c r="IDK3" s="15"/>
      <c r="IDL3" s="15"/>
      <c r="IDM3" s="15"/>
      <c r="IDN3" s="15"/>
      <c r="IDO3" s="15"/>
      <c r="IDP3" s="15"/>
      <c r="IDQ3" s="15"/>
      <c r="IDR3" s="15"/>
      <c r="IDS3" s="15"/>
      <c r="IDT3" s="15"/>
      <c r="IDU3" s="15"/>
      <c r="IDV3" s="15"/>
      <c r="IDW3" s="15"/>
      <c r="IDX3" s="15"/>
      <c r="IDY3" s="15"/>
      <c r="IDZ3" s="15"/>
      <c r="IEA3" s="15"/>
      <c r="IEB3" s="15"/>
      <c r="IEC3" s="15"/>
      <c r="IED3" s="15"/>
      <c r="IEE3" s="15"/>
      <c r="IEF3" s="15"/>
      <c r="IEG3" s="15"/>
      <c r="IEH3" s="15"/>
      <c r="IEI3" s="15"/>
      <c r="IEJ3" s="15"/>
      <c r="IEK3" s="15"/>
      <c r="IEL3" s="15"/>
      <c r="IEM3" s="15"/>
      <c r="IEN3" s="15"/>
      <c r="IEO3" s="15"/>
      <c r="IEP3" s="15"/>
      <c r="IEQ3" s="15"/>
      <c r="IER3" s="15"/>
      <c r="IES3" s="15"/>
      <c r="IET3" s="15"/>
      <c r="IEU3" s="15"/>
      <c r="IEV3" s="15"/>
      <c r="IEW3" s="15"/>
      <c r="IEX3" s="15"/>
      <c r="IEY3" s="15"/>
      <c r="IEZ3" s="15"/>
      <c r="IFA3" s="15"/>
      <c r="IFB3" s="15"/>
      <c r="IFC3" s="15"/>
      <c r="IFD3" s="15"/>
      <c r="IFE3" s="15"/>
      <c r="IFF3" s="15"/>
      <c r="IFG3" s="15"/>
      <c r="IFH3" s="15"/>
      <c r="IFI3" s="15"/>
      <c r="IFJ3" s="15"/>
      <c r="IFK3" s="15"/>
      <c r="IFL3" s="15"/>
      <c r="IFM3" s="15"/>
      <c r="IFN3" s="15"/>
      <c r="IFO3" s="15"/>
      <c r="IFP3" s="15"/>
      <c r="IFQ3" s="15"/>
      <c r="IFR3" s="15"/>
      <c r="IFS3" s="15"/>
      <c r="IFT3" s="15"/>
      <c r="IFU3" s="15"/>
      <c r="IFV3" s="15"/>
      <c r="IFW3" s="15"/>
      <c r="IFX3" s="15"/>
      <c r="IFY3" s="15"/>
      <c r="IFZ3" s="15"/>
      <c r="IGA3" s="15"/>
      <c r="IGB3" s="15"/>
      <c r="IGC3" s="15"/>
      <c r="IGD3" s="15"/>
      <c r="IGE3" s="15"/>
      <c r="IGF3" s="15"/>
      <c r="IGG3" s="15"/>
      <c r="IGH3" s="15"/>
      <c r="IGI3" s="15"/>
      <c r="IGJ3" s="15"/>
      <c r="IGK3" s="15"/>
      <c r="IGL3" s="15"/>
      <c r="IGM3" s="15"/>
      <c r="IGN3" s="15"/>
      <c r="IGO3" s="15"/>
      <c r="IGP3" s="15"/>
      <c r="IGQ3" s="15"/>
      <c r="IGR3" s="15"/>
      <c r="IGS3" s="15"/>
      <c r="IGT3" s="15"/>
      <c r="IGU3" s="15"/>
      <c r="IGV3" s="15"/>
      <c r="IGW3" s="15"/>
      <c r="IGX3" s="15"/>
      <c r="IGY3" s="15"/>
      <c r="IGZ3" s="15"/>
      <c r="IHA3" s="15"/>
      <c r="IHB3" s="15"/>
      <c r="IHC3" s="15"/>
      <c r="IHD3" s="15"/>
      <c r="IHE3" s="15"/>
      <c r="IHF3" s="15"/>
      <c r="IHG3" s="15"/>
      <c r="IHH3" s="15"/>
      <c r="IHI3" s="15"/>
      <c r="IHJ3" s="15"/>
      <c r="IHK3" s="15"/>
      <c r="IHL3" s="15"/>
      <c r="IHM3" s="15"/>
      <c r="IHN3" s="15"/>
      <c r="IHO3" s="15"/>
      <c r="IHP3" s="15"/>
      <c r="IHQ3" s="15"/>
      <c r="IHR3" s="15"/>
      <c r="IHS3" s="15"/>
      <c r="IHT3" s="15"/>
      <c r="IHU3" s="15"/>
      <c r="IHV3" s="15"/>
      <c r="IHW3" s="15"/>
      <c r="IHX3" s="15"/>
      <c r="IHY3" s="15"/>
      <c r="IHZ3" s="15"/>
      <c r="IIA3" s="15"/>
      <c r="IIB3" s="15"/>
      <c r="IIC3" s="15"/>
      <c r="IID3" s="15"/>
      <c r="IIE3" s="15"/>
      <c r="IIF3" s="15"/>
      <c r="IIG3" s="15"/>
      <c r="IIH3" s="15"/>
      <c r="III3" s="15"/>
      <c r="IIJ3" s="15"/>
      <c r="IIK3" s="15"/>
      <c r="IIL3" s="15"/>
      <c r="IIM3" s="15"/>
      <c r="IIN3" s="15"/>
      <c r="IIO3" s="15"/>
      <c r="IIP3" s="15"/>
      <c r="IIQ3" s="15"/>
      <c r="IIR3" s="15"/>
      <c r="IIS3" s="15"/>
      <c r="IIT3" s="15"/>
      <c r="IIU3" s="15"/>
      <c r="IIV3" s="15"/>
      <c r="IIW3" s="15"/>
      <c r="IIX3" s="15"/>
      <c r="IIY3" s="15"/>
      <c r="IIZ3" s="15"/>
      <c r="IJA3" s="15"/>
      <c r="IJB3" s="15"/>
      <c r="IJC3" s="15"/>
      <c r="IJD3" s="15"/>
      <c r="IJE3" s="15"/>
      <c r="IJF3" s="15"/>
      <c r="IJG3" s="15"/>
      <c r="IJH3" s="15"/>
      <c r="IJI3" s="15"/>
      <c r="IJJ3" s="15"/>
      <c r="IJK3" s="15"/>
      <c r="IJL3" s="15"/>
      <c r="IJM3" s="15"/>
      <c r="IJN3" s="15"/>
      <c r="IJO3" s="15"/>
      <c r="IJP3" s="15"/>
      <c r="IJQ3" s="15"/>
      <c r="IJR3" s="15"/>
      <c r="IJS3" s="15"/>
      <c r="IJT3" s="15"/>
      <c r="IJU3" s="15"/>
      <c r="IJV3" s="15"/>
      <c r="IJW3" s="15"/>
      <c r="IJX3" s="15"/>
      <c r="IJY3" s="15"/>
      <c r="IJZ3" s="15"/>
      <c r="IKA3" s="15"/>
      <c r="IKB3" s="15"/>
      <c r="IKC3" s="15"/>
      <c r="IKD3" s="15"/>
      <c r="IKE3" s="15"/>
      <c r="IKF3" s="15"/>
      <c r="IKG3" s="15"/>
      <c r="IKH3" s="15"/>
      <c r="IKI3" s="15"/>
      <c r="IKJ3" s="15"/>
      <c r="IKK3" s="15"/>
      <c r="IKL3" s="15"/>
      <c r="IKM3" s="15"/>
      <c r="IKN3" s="15"/>
      <c r="IKO3" s="15"/>
      <c r="IKP3" s="15"/>
      <c r="IKQ3" s="15"/>
      <c r="IKR3" s="15"/>
      <c r="IKS3" s="15"/>
      <c r="IKT3" s="15"/>
      <c r="IKU3" s="15"/>
      <c r="IKV3" s="15"/>
      <c r="IKW3" s="15"/>
      <c r="IKX3" s="15"/>
      <c r="IKY3" s="15"/>
      <c r="IKZ3" s="15"/>
      <c r="ILA3" s="15"/>
      <c r="ILB3" s="15"/>
      <c r="ILC3" s="15"/>
      <c r="ILD3" s="15"/>
      <c r="ILE3" s="15"/>
      <c r="ILF3" s="15"/>
      <c r="ILG3" s="15"/>
      <c r="ILH3" s="15"/>
      <c r="ILI3" s="15"/>
      <c r="ILJ3" s="15"/>
      <c r="ILK3" s="15"/>
      <c r="ILL3" s="15"/>
      <c r="ILM3" s="15"/>
      <c r="ILN3" s="15"/>
      <c r="ILO3" s="15"/>
      <c r="ILP3" s="15"/>
      <c r="ILQ3" s="15"/>
      <c r="ILR3" s="15"/>
      <c r="ILS3" s="15"/>
      <c r="ILT3" s="15"/>
      <c r="ILU3" s="15"/>
      <c r="ILV3" s="15"/>
      <c r="ILW3" s="15"/>
      <c r="ILX3" s="15"/>
      <c r="ILY3" s="15"/>
      <c r="ILZ3" s="15"/>
      <c r="IMA3" s="15"/>
      <c r="IMB3" s="15"/>
      <c r="IMC3" s="15"/>
      <c r="IMD3" s="15"/>
      <c r="IME3" s="15"/>
      <c r="IMF3" s="15"/>
      <c r="IMG3" s="15"/>
      <c r="IMH3" s="15"/>
      <c r="IMI3" s="15"/>
      <c r="IMJ3" s="15"/>
      <c r="IMK3" s="15"/>
      <c r="IML3" s="15"/>
      <c r="IMM3" s="15"/>
      <c r="IMN3" s="15"/>
      <c r="IMO3" s="15"/>
      <c r="IMP3" s="15"/>
      <c r="IMQ3" s="15"/>
      <c r="IMR3" s="15"/>
      <c r="IMS3" s="15"/>
      <c r="IMT3" s="15"/>
      <c r="IMU3" s="15"/>
      <c r="IMV3" s="15"/>
      <c r="IMW3" s="15"/>
      <c r="IMX3" s="15"/>
      <c r="IMY3" s="15"/>
      <c r="IMZ3" s="15"/>
      <c r="INA3" s="15"/>
      <c r="INB3" s="15"/>
      <c r="INC3" s="15"/>
      <c r="IND3" s="15"/>
      <c r="INE3" s="15"/>
      <c r="INF3" s="15"/>
      <c r="ING3" s="15"/>
      <c r="INH3" s="15"/>
      <c r="INI3" s="15"/>
      <c r="INJ3" s="15"/>
      <c r="INK3" s="15"/>
      <c r="INL3" s="15"/>
      <c r="INM3" s="15"/>
      <c r="INN3" s="15"/>
      <c r="INO3" s="15"/>
      <c r="INP3" s="15"/>
      <c r="INQ3" s="15"/>
      <c r="INR3" s="15"/>
      <c r="INS3" s="15"/>
      <c r="INT3" s="15"/>
      <c r="INU3" s="15"/>
      <c r="INV3" s="15"/>
      <c r="INW3" s="15"/>
      <c r="INX3" s="15"/>
      <c r="INY3" s="15"/>
      <c r="INZ3" s="15"/>
      <c r="IOA3" s="15"/>
      <c r="IOB3" s="15"/>
      <c r="IOC3" s="15"/>
      <c r="IOD3" s="15"/>
      <c r="IOE3" s="15"/>
      <c r="IOF3" s="15"/>
      <c r="IOG3" s="15"/>
      <c r="IOH3" s="15"/>
      <c r="IOI3" s="15"/>
      <c r="IOJ3" s="15"/>
      <c r="IOK3" s="15"/>
      <c r="IOL3" s="15"/>
      <c r="IOM3" s="15"/>
      <c r="ION3" s="15"/>
      <c r="IOO3" s="15"/>
      <c r="IOP3" s="15"/>
      <c r="IOQ3" s="15"/>
      <c r="IOR3" s="15"/>
      <c r="IOS3" s="15"/>
      <c r="IOT3" s="15"/>
      <c r="IOU3" s="15"/>
      <c r="IOV3" s="15"/>
      <c r="IOW3" s="15"/>
      <c r="IOX3" s="15"/>
      <c r="IOY3" s="15"/>
      <c r="IOZ3" s="15"/>
      <c r="IPA3" s="15"/>
      <c r="IPB3" s="15"/>
      <c r="IPC3" s="15"/>
      <c r="IPD3" s="15"/>
      <c r="IPE3" s="15"/>
      <c r="IPF3" s="15"/>
      <c r="IPG3" s="15"/>
      <c r="IPH3" s="15"/>
      <c r="IPI3" s="15"/>
      <c r="IPJ3" s="15"/>
      <c r="IPK3" s="15"/>
      <c r="IPL3" s="15"/>
      <c r="IPM3" s="15"/>
      <c r="IPN3" s="15"/>
      <c r="IPO3" s="15"/>
      <c r="IPP3" s="15"/>
      <c r="IPQ3" s="15"/>
      <c r="IPR3" s="15"/>
      <c r="IPS3" s="15"/>
      <c r="IPT3" s="15"/>
      <c r="IPU3" s="15"/>
      <c r="IPV3" s="15"/>
      <c r="IPW3" s="15"/>
      <c r="IPX3" s="15"/>
      <c r="IPY3" s="15"/>
      <c r="IPZ3" s="15"/>
      <c r="IQA3" s="15"/>
      <c r="IQB3" s="15"/>
      <c r="IQC3" s="15"/>
      <c r="IQD3" s="15"/>
      <c r="IQE3" s="15"/>
      <c r="IQF3" s="15"/>
      <c r="IQG3" s="15"/>
      <c r="IQH3" s="15"/>
      <c r="IQI3" s="15"/>
      <c r="IQJ3" s="15"/>
      <c r="IQK3" s="15"/>
      <c r="IQL3" s="15"/>
      <c r="IQM3" s="15"/>
      <c r="IQN3" s="15"/>
      <c r="IQO3" s="15"/>
      <c r="IQP3" s="15"/>
      <c r="IQQ3" s="15"/>
      <c r="IQR3" s="15"/>
      <c r="IQS3" s="15"/>
      <c r="IQT3" s="15"/>
      <c r="IQU3" s="15"/>
      <c r="IQV3" s="15"/>
      <c r="IQW3" s="15"/>
      <c r="IQX3" s="15"/>
      <c r="IQY3" s="15"/>
      <c r="IQZ3" s="15"/>
      <c r="IRA3" s="15"/>
      <c r="IRB3" s="15"/>
      <c r="IRC3" s="15"/>
      <c r="IRD3" s="15"/>
      <c r="IRE3" s="15"/>
      <c r="IRF3" s="15"/>
      <c r="IRG3" s="15"/>
      <c r="IRH3" s="15"/>
      <c r="IRI3" s="15"/>
      <c r="IRJ3" s="15"/>
      <c r="IRK3" s="15"/>
      <c r="IRL3" s="15"/>
      <c r="IRM3" s="15"/>
      <c r="IRN3" s="15"/>
      <c r="IRO3" s="15"/>
      <c r="IRP3" s="15"/>
      <c r="IRQ3" s="15"/>
      <c r="IRR3" s="15"/>
      <c r="IRS3" s="15"/>
      <c r="IRT3" s="15"/>
      <c r="IRU3" s="15"/>
      <c r="IRV3" s="15"/>
      <c r="IRW3" s="15"/>
      <c r="IRX3" s="15"/>
      <c r="IRY3" s="15"/>
      <c r="IRZ3" s="15"/>
      <c r="ISA3" s="15"/>
      <c r="ISB3" s="15"/>
      <c r="ISC3" s="15"/>
      <c r="ISD3" s="15"/>
      <c r="ISE3" s="15"/>
      <c r="ISF3" s="15"/>
      <c r="ISG3" s="15"/>
      <c r="ISH3" s="15"/>
      <c r="ISI3" s="15"/>
      <c r="ISJ3" s="15"/>
      <c r="ISK3" s="15"/>
      <c r="ISL3" s="15"/>
      <c r="ISM3" s="15"/>
      <c r="ISN3" s="15"/>
      <c r="ISO3" s="15"/>
      <c r="ISP3" s="15"/>
      <c r="ISQ3" s="15"/>
      <c r="ISR3" s="15"/>
      <c r="ISS3" s="15"/>
      <c r="IST3" s="15"/>
      <c r="ISU3" s="15"/>
      <c r="ISV3" s="15"/>
      <c r="ISW3" s="15"/>
      <c r="ISX3" s="15"/>
      <c r="ISY3" s="15"/>
      <c r="ISZ3" s="15"/>
      <c r="ITA3" s="15"/>
      <c r="ITB3" s="15"/>
      <c r="ITC3" s="15"/>
      <c r="ITD3" s="15"/>
      <c r="ITE3" s="15"/>
      <c r="ITF3" s="15"/>
      <c r="ITG3" s="15"/>
      <c r="ITH3" s="15"/>
      <c r="ITI3" s="15"/>
      <c r="ITJ3" s="15"/>
      <c r="ITK3" s="15"/>
      <c r="ITL3" s="15"/>
      <c r="ITM3" s="15"/>
      <c r="ITN3" s="15"/>
      <c r="ITO3" s="15"/>
      <c r="ITP3" s="15"/>
      <c r="ITQ3" s="15"/>
      <c r="ITR3" s="15"/>
      <c r="ITS3" s="15"/>
      <c r="ITT3" s="15"/>
      <c r="ITU3" s="15"/>
      <c r="ITV3" s="15"/>
      <c r="ITW3" s="15"/>
      <c r="ITX3" s="15"/>
      <c r="ITY3" s="15"/>
      <c r="ITZ3" s="15"/>
      <c r="IUA3" s="15"/>
      <c r="IUB3" s="15"/>
      <c r="IUC3" s="15"/>
      <c r="IUD3" s="15"/>
      <c r="IUE3" s="15"/>
      <c r="IUF3" s="15"/>
      <c r="IUG3" s="15"/>
      <c r="IUH3" s="15"/>
      <c r="IUI3" s="15"/>
      <c r="IUJ3" s="15"/>
      <c r="IUK3" s="15"/>
      <c r="IUL3" s="15"/>
      <c r="IUM3" s="15"/>
      <c r="IUN3" s="15"/>
      <c r="IUO3" s="15"/>
      <c r="IUP3" s="15"/>
      <c r="IUQ3" s="15"/>
      <c r="IUR3" s="15"/>
      <c r="IUS3" s="15"/>
      <c r="IUT3" s="15"/>
      <c r="IUU3" s="15"/>
      <c r="IUV3" s="15"/>
      <c r="IUW3" s="15"/>
      <c r="IUX3" s="15"/>
      <c r="IUY3" s="15"/>
      <c r="IUZ3" s="15"/>
      <c r="IVA3" s="15"/>
      <c r="IVB3" s="15"/>
      <c r="IVC3" s="15"/>
      <c r="IVD3" s="15"/>
      <c r="IVE3" s="15"/>
      <c r="IVF3" s="15"/>
      <c r="IVG3" s="15"/>
      <c r="IVH3" s="15"/>
      <c r="IVI3" s="15"/>
      <c r="IVJ3" s="15"/>
      <c r="IVK3" s="15"/>
      <c r="IVL3" s="15"/>
      <c r="IVM3" s="15"/>
      <c r="IVN3" s="15"/>
      <c r="IVO3" s="15"/>
      <c r="IVP3" s="15"/>
      <c r="IVQ3" s="15"/>
      <c r="IVR3" s="15"/>
      <c r="IVS3" s="15"/>
      <c r="IVT3" s="15"/>
      <c r="IVU3" s="15"/>
      <c r="IVV3" s="15"/>
      <c r="IVW3" s="15"/>
      <c r="IVX3" s="15"/>
      <c r="IVY3" s="15"/>
      <c r="IVZ3" s="15"/>
      <c r="IWA3" s="15"/>
      <c r="IWB3" s="15"/>
      <c r="IWC3" s="15"/>
      <c r="IWD3" s="15"/>
      <c r="IWE3" s="15"/>
      <c r="IWF3" s="15"/>
      <c r="IWG3" s="15"/>
      <c r="IWH3" s="15"/>
      <c r="IWI3" s="15"/>
      <c r="IWJ3" s="15"/>
      <c r="IWK3" s="15"/>
      <c r="IWL3" s="15"/>
      <c r="IWM3" s="15"/>
      <c r="IWN3" s="15"/>
      <c r="IWO3" s="15"/>
      <c r="IWP3" s="15"/>
      <c r="IWQ3" s="15"/>
      <c r="IWR3" s="15"/>
      <c r="IWS3" s="15"/>
      <c r="IWT3" s="15"/>
      <c r="IWU3" s="15"/>
      <c r="IWV3" s="15"/>
      <c r="IWW3" s="15"/>
      <c r="IWX3" s="15"/>
      <c r="IWY3" s="15"/>
      <c r="IWZ3" s="15"/>
      <c r="IXA3" s="15"/>
      <c r="IXB3" s="15"/>
      <c r="IXC3" s="15"/>
      <c r="IXD3" s="15"/>
      <c r="IXE3" s="15"/>
      <c r="IXF3" s="15"/>
      <c r="IXG3" s="15"/>
      <c r="IXH3" s="15"/>
      <c r="IXI3" s="15"/>
      <c r="IXJ3" s="15"/>
      <c r="IXK3" s="15"/>
      <c r="IXL3" s="15"/>
      <c r="IXM3" s="15"/>
      <c r="IXN3" s="15"/>
      <c r="IXO3" s="15"/>
      <c r="IXP3" s="15"/>
      <c r="IXQ3" s="15"/>
      <c r="IXR3" s="15"/>
      <c r="IXS3" s="15"/>
      <c r="IXT3" s="15"/>
      <c r="IXU3" s="15"/>
      <c r="IXV3" s="15"/>
      <c r="IXW3" s="15"/>
      <c r="IXX3" s="15"/>
      <c r="IXY3" s="15"/>
      <c r="IXZ3" s="15"/>
      <c r="IYA3" s="15"/>
      <c r="IYB3" s="15"/>
      <c r="IYC3" s="15"/>
      <c r="IYD3" s="15"/>
      <c r="IYE3" s="15"/>
      <c r="IYF3" s="15"/>
      <c r="IYG3" s="15"/>
      <c r="IYH3" s="15"/>
      <c r="IYI3" s="15"/>
      <c r="IYJ3" s="15"/>
      <c r="IYK3" s="15"/>
      <c r="IYL3" s="15"/>
      <c r="IYM3" s="15"/>
      <c r="IYN3" s="15"/>
      <c r="IYO3" s="15"/>
      <c r="IYP3" s="15"/>
      <c r="IYQ3" s="15"/>
      <c r="IYR3" s="15"/>
      <c r="IYS3" s="15"/>
      <c r="IYT3" s="15"/>
      <c r="IYU3" s="15"/>
      <c r="IYV3" s="15"/>
      <c r="IYW3" s="15"/>
      <c r="IYX3" s="15"/>
      <c r="IYY3" s="15"/>
      <c r="IYZ3" s="15"/>
      <c r="IZA3" s="15"/>
      <c r="IZB3" s="15"/>
      <c r="IZC3" s="15"/>
      <c r="IZD3" s="15"/>
      <c r="IZE3" s="15"/>
      <c r="IZF3" s="15"/>
      <c r="IZG3" s="15"/>
      <c r="IZH3" s="15"/>
      <c r="IZI3" s="15"/>
      <c r="IZJ3" s="15"/>
      <c r="IZK3" s="15"/>
      <c r="IZL3" s="15"/>
      <c r="IZM3" s="15"/>
      <c r="IZN3" s="15"/>
      <c r="IZO3" s="15"/>
      <c r="IZP3" s="15"/>
      <c r="IZQ3" s="15"/>
      <c r="IZR3" s="15"/>
      <c r="IZS3" s="15"/>
      <c r="IZT3" s="15"/>
      <c r="IZU3" s="15"/>
      <c r="IZV3" s="15"/>
      <c r="IZW3" s="15"/>
      <c r="IZX3" s="15"/>
      <c r="IZY3" s="15"/>
      <c r="IZZ3" s="15"/>
      <c r="JAA3" s="15"/>
      <c r="JAB3" s="15"/>
      <c r="JAC3" s="15"/>
      <c r="JAD3" s="15"/>
      <c r="JAE3" s="15"/>
      <c r="JAF3" s="15"/>
      <c r="JAG3" s="15"/>
      <c r="JAH3" s="15"/>
      <c r="JAI3" s="15"/>
      <c r="JAJ3" s="15"/>
      <c r="JAK3" s="15"/>
      <c r="JAL3" s="15"/>
      <c r="JAM3" s="15"/>
      <c r="JAN3" s="15"/>
      <c r="JAO3" s="15"/>
      <c r="JAP3" s="15"/>
      <c r="JAQ3" s="15"/>
      <c r="JAR3" s="15"/>
      <c r="JAS3" s="15"/>
      <c r="JAT3" s="15"/>
      <c r="JAU3" s="15"/>
      <c r="JAV3" s="15"/>
      <c r="JAW3" s="15"/>
      <c r="JAX3" s="15"/>
      <c r="JAY3" s="15"/>
      <c r="JAZ3" s="15"/>
      <c r="JBA3" s="15"/>
      <c r="JBB3" s="15"/>
      <c r="JBC3" s="15"/>
      <c r="JBD3" s="15"/>
      <c r="JBE3" s="15"/>
      <c r="JBF3" s="15"/>
      <c r="JBG3" s="15"/>
      <c r="JBH3" s="15"/>
      <c r="JBI3" s="15"/>
      <c r="JBJ3" s="15"/>
      <c r="JBK3" s="15"/>
      <c r="JBL3" s="15"/>
      <c r="JBM3" s="15"/>
      <c r="JBN3" s="15"/>
      <c r="JBO3" s="15"/>
      <c r="JBP3" s="15"/>
      <c r="JBQ3" s="15"/>
      <c r="JBR3" s="15"/>
      <c r="JBS3" s="15"/>
      <c r="JBT3" s="15"/>
      <c r="JBU3" s="15"/>
      <c r="JBV3" s="15"/>
      <c r="JBW3" s="15"/>
      <c r="JBX3" s="15"/>
      <c r="JBY3" s="15"/>
      <c r="JBZ3" s="15"/>
      <c r="JCA3" s="15"/>
      <c r="JCB3" s="15"/>
      <c r="JCC3" s="15"/>
      <c r="JCD3" s="15"/>
      <c r="JCE3" s="15"/>
      <c r="JCF3" s="15"/>
      <c r="JCG3" s="15"/>
      <c r="JCH3" s="15"/>
      <c r="JCI3" s="15"/>
      <c r="JCJ3" s="15"/>
      <c r="JCK3" s="15"/>
      <c r="JCL3" s="15"/>
      <c r="JCM3" s="15"/>
      <c r="JCN3" s="15"/>
      <c r="JCO3" s="15"/>
      <c r="JCP3" s="15"/>
      <c r="JCQ3" s="15"/>
      <c r="JCR3" s="15"/>
      <c r="JCS3" s="15"/>
      <c r="JCT3" s="15"/>
      <c r="JCU3" s="15"/>
      <c r="JCV3" s="15"/>
      <c r="JCW3" s="15"/>
      <c r="JCX3" s="15"/>
      <c r="JCY3" s="15"/>
      <c r="JCZ3" s="15"/>
      <c r="JDA3" s="15"/>
      <c r="JDB3" s="15"/>
      <c r="JDC3" s="15"/>
      <c r="JDD3" s="15"/>
      <c r="JDE3" s="15"/>
      <c r="JDF3" s="15"/>
      <c r="JDG3" s="15"/>
      <c r="JDH3" s="15"/>
      <c r="JDI3" s="15"/>
      <c r="JDJ3" s="15"/>
      <c r="JDK3" s="15"/>
      <c r="JDL3" s="15"/>
      <c r="JDM3" s="15"/>
      <c r="JDN3" s="15"/>
      <c r="JDO3" s="15"/>
      <c r="JDP3" s="15"/>
      <c r="JDQ3" s="15"/>
      <c r="JDR3" s="15"/>
      <c r="JDS3" s="15"/>
      <c r="JDT3" s="15"/>
      <c r="JDU3" s="15"/>
      <c r="JDV3" s="15"/>
      <c r="JDW3" s="15"/>
      <c r="JDX3" s="15"/>
      <c r="JDY3" s="15"/>
      <c r="JDZ3" s="15"/>
      <c r="JEA3" s="15"/>
      <c r="JEB3" s="15"/>
      <c r="JEC3" s="15"/>
      <c r="JED3" s="15"/>
      <c r="JEE3" s="15"/>
      <c r="JEF3" s="15"/>
      <c r="JEG3" s="15"/>
      <c r="JEH3" s="15"/>
      <c r="JEI3" s="15"/>
      <c r="JEJ3" s="15"/>
      <c r="JEK3" s="15"/>
      <c r="JEL3" s="15"/>
      <c r="JEM3" s="15"/>
      <c r="JEN3" s="15"/>
      <c r="JEO3" s="15"/>
      <c r="JEP3" s="15"/>
      <c r="JEQ3" s="15"/>
      <c r="JER3" s="15"/>
      <c r="JES3" s="15"/>
      <c r="JET3" s="15"/>
      <c r="JEU3" s="15"/>
      <c r="JEV3" s="15"/>
      <c r="JEW3" s="15"/>
      <c r="JEX3" s="15"/>
      <c r="JEY3" s="15"/>
      <c r="JEZ3" s="15"/>
      <c r="JFA3" s="15"/>
      <c r="JFB3" s="15"/>
      <c r="JFC3" s="15"/>
      <c r="JFD3" s="15"/>
      <c r="JFE3" s="15"/>
      <c r="JFF3" s="15"/>
      <c r="JFG3" s="15"/>
      <c r="JFH3" s="15"/>
      <c r="JFI3" s="15"/>
      <c r="JFJ3" s="15"/>
      <c r="JFK3" s="15"/>
      <c r="JFL3" s="15"/>
      <c r="JFM3" s="15"/>
      <c r="JFN3" s="15"/>
      <c r="JFO3" s="15"/>
      <c r="JFP3" s="15"/>
      <c r="JFQ3" s="15"/>
      <c r="JFR3" s="15"/>
      <c r="JFS3" s="15"/>
      <c r="JFT3" s="15"/>
      <c r="JFU3" s="15"/>
      <c r="JFV3" s="15"/>
      <c r="JFW3" s="15"/>
      <c r="JFX3" s="15"/>
      <c r="JFY3" s="15"/>
      <c r="JFZ3" s="15"/>
      <c r="JGA3" s="15"/>
      <c r="JGB3" s="15"/>
      <c r="JGC3" s="15"/>
      <c r="JGD3" s="15"/>
      <c r="JGE3" s="15"/>
      <c r="JGF3" s="15"/>
      <c r="JGG3" s="15"/>
      <c r="JGH3" s="15"/>
      <c r="JGI3" s="15"/>
      <c r="JGJ3" s="15"/>
      <c r="JGK3" s="15"/>
      <c r="JGL3" s="15"/>
      <c r="JGM3" s="15"/>
      <c r="JGN3" s="15"/>
      <c r="JGO3" s="15"/>
      <c r="JGP3" s="15"/>
      <c r="JGQ3" s="15"/>
      <c r="JGR3" s="15"/>
      <c r="JGS3" s="15"/>
      <c r="JGT3" s="15"/>
      <c r="JGU3" s="15"/>
      <c r="JGV3" s="15"/>
      <c r="JGW3" s="15"/>
      <c r="JGX3" s="15"/>
      <c r="JGY3" s="15"/>
      <c r="JGZ3" s="15"/>
      <c r="JHA3" s="15"/>
      <c r="JHB3" s="15"/>
      <c r="JHC3" s="15"/>
      <c r="JHD3" s="15"/>
      <c r="JHE3" s="15"/>
      <c r="JHF3" s="15"/>
      <c r="JHG3" s="15"/>
      <c r="JHH3" s="15"/>
      <c r="JHI3" s="15"/>
      <c r="JHJ3" s="15"/>
      <c r="JHK3" s="15"/>
      <c r="JHL3" s="15"/>
      <c r="JHM3" s="15"/>
      <c r="JHN3" s="15"/>
      <c r="JHO3" s="15"/>
      <c r="JHP3" s="15"/>
      <c r="JHQ3" s="15"/>
      <c r="JHR3" s="15"/>
      <c r="JHS3" s="15"/>
      <c r="JHT3" s="15"/>
      <c r="JHU3" s="15"/>
      <c r="JHV3" s="15"/>
      <c r="JHW3" s="15"/>
      <c r="JHX3" s="15"/>
      <c r="JHY3" s="15"/>
      <c r="JHZ3" s="15"/>
      <c r="JIA3" s="15"/>
      <c r="JIB3" s="15"/>
      <c r="JIC3" s="15"/>
      <c r="JID3" s="15"/>
      <c r="JIE3" s="15"/>
      <c r="JIF3" s="15"/>
      <c r="JIG3" s="15"/>
      <c r="JIH3" s="15"/>
      <c r="JII3" s="15"/>
      <c r="JIJ3" s="15"/>
      <c r="JIK3" s="15"/>
      <c r="JIL3" s="15"/>
      <c r="JIM3" s="15"/>
      <c r="JIN3" s="15"/>
      <c r="JIO3" s="15"/>
      <c r="JIP3" s="15"/>
      <c r="JIQ3" s="15"/>
      <c r="JIR3" s="15"/>
      <c r="JIS3" s="15"/>
      <c r="JIT3" s="15"/>
      <c r="JIU3" s="15"/>
      <c r="JIV3" s="15"/>
      <c r="JIW3" s="15"/>
      <c r="JIX3" s="15"/>
      <c r="JIY3" s="15"/>
      <c r="JIZ3" s="15"/>
      <c r="JJA3" s="15"/>
      <c r="JJB3" s="15"/>
      <c r="JJC3" s="15"/>
      <c r="JJD3" s="15"/>
      <c r="JJE3" s="15"/>
      <c r="JJF3" s="15"/>
      <c r="JJG3" s="15"/>
      <c r="JJH3" s="15"/>
      <c r="JJI3" s="15"/>
      <c r="JJJ3" s="15"/>
      <c r="JJK3" s="15"/>
      <c r="JJL3" s="15"/>
      <c r="JJM3" s="15"/>
      <c r="JJN3" s="15"/>
      <c r="JJO3" s="15"/>
      <c r="JJP3" s="15"/>
      <c r="JJQ3" s="15"/>
      <c r="JJR3" s="15"/>
      <c r="JJS3" s="15"/>
      <c r="JJT3" s="15"/>
      <c r="JJU3" s="15"/>
      <c r="JJV3" s="15"/>
      <c r="JJW3" s="15"/>
      <c r="JJX3" s="15"/>
      <c r="JJY3" s="15"/>
      <c r="JJZ3" s="15"/>
      <c r="JKA3" s="15"/>
      <c r="JKB3" s="15"/>
      <c r="JKC3" s="15"/>
      <c r="JKD3" s="15"/>
      <c r="JKE3" s="15"/>
      <c r="JKF3" s="15"/>
      <c r="JKG3" s="15"/>
      <c r="JKH3" s="15"/>
      <c r="JKI3" s="15"/>
      <c r="JKJ3" s="15"/>
      <c r="JKK3" s="15"/>
      <c r="JKL3" s="15"/>
      <c r="JKM3" s="15"/>
      <c r="JKN3" s="15"/>
      <c r="JKO3" s="15"/>
      <c r="JKP3" s="15"/>
      <c r="JKQ3" s="15"/>
      <c r="JKR3" s="15"/>
      <c r="JKS3" s="15"/>
      <c r="JKT3" s="15"/>
      <c r="JKU3" s="15"/>
      <c r="JKV3" s="15"/>
      <c r="JKW3" s="15"/>
      <c r="JKX3" s="15"/>
      <c r="JKY3" s="15"/>
      <c r="JKZ3" s="15"/>
      <c r="JLA3" s="15"/>
      <c r="JLB3" s="15"/>
      <c r="JLC3" s="15"/>
      <c r="JLD3" s="15"/>
      <c r="JLE3" s="15"/>
      <c r="JLF3" s="15"/>
      <c r="JLG3" s="15"/>
      <c r="JLH3" s="15"/>
      <c r="JLI3" s="15"/>
      <c r="JLJ3" s="15"/>
      <c r="JLK3" s="15"/>
      <c r="JLL3" s="15"/>
      <c r="JLM3" s="15"/>
      <c r="JLN3" s="15"/>
      <c r="JLO3" s="15"/>
      <c r="JLP3" s="15"/>
      <c r="JLQ3" s="15"/>
      <c r="JLR3" s="15"/>
      <c r="JLS3" s="15"/>
      <c r="JLT3" s="15"/>
      <c r="JLU3" s="15"/>
      <c r="JLV3" s="15"/>
      <c r="JLW3" s="15"/>
      <c r="JLX3" s="15"/>
      <c r="JLY3" s="15"/>
      <c r="JLZ3" s="15"/>
      <c r="JMA3" s="15"/>
      <c r="JMB3" s="15"/>
      <c r="JMC3" s="15"/>
      <c r="JMD3" s="15"/>
      <c r="JME3" s="15"/>
      <c r="JMF3" s="15"/>
      <c r="JMG3" s="15"/>
      <c r="JMH3" s="15"/>
      <c r="JMI3" s="15"/>
      <c r="JMJ3" s="15"/>
      <c r="JMK3" s="15"/>
      <c r="JML3" s="15"/>
      <c r="JMM3" s="15"/>
      <c r="JMN3" s="15"/>
      <c r="JMO3" s="15"/>
      <c r="JMP3" s="15"/>
      <c r="JMQ3" s="15"/>
      <c r="JMR3" s="15"/>
      <c r="JMS3" s="15"/>
      <c r="JMT3" s="15"/>
      <c r="JMU3" s="15"/>
      <c r="JMV3" s="15"/>
      <c r="JMW3" s="15"/>
      <c r="JMX3" s="15"/>
      <c r="JMY3" s="15"/>
      <c r="JMZ3" s="15"/>
      <c r="JNA3" s="15"/>
      <c r="JNB3" s="15"/>
      <c r="JNC3" s="15"/>
      <c r="JND3" s="15"/>
      <c r="JNE3" s="15"/>
      <c r="JNF3" s="15"/>
      <c r="JNG3" s="15"/>
      <c r="JNH3" s="15"/>
      <c r="JNI3" s="15"/>
      <c r="JNJ3" s="15"/>
      <c r="JNK3" s="15"/>
      <c r="JNL3" s="15"/>
      <c r="JNM3" s="15"/>
      <c r="JNN3" s="15"/>
      <c r="JNO3" s="15"/>
      <c r="JNP3" s="15"/>
      <c r="JNQ3" s="15"/>
      <c r="JNR3" s="15"/>
      <c r="JNS3" s="15"/>
      <c r="JNT3" s="15"/>
      <c r="JNU3" s="15"/>
      <c r="JNV3" s="15"/>
      <c r="JNW3" s="15"/>
      <c r="JNX3" s="15"/>
      <c r="JNY3" s="15"/>
      <c r="JNZ3" s="15"/>
      <c r="JOA3" s="15"/>
      <c r="JOB3" s="15"/>
      <c r="JOC3" s="15"/>
      <c r="JOD3" s="15"/>
      <c r="JOE3" s="15"/>
      <c r="JOF3" s="15"/>
      <c r="JOG3" s="15"/>
      <c r="JOH3" s="15"/>
      <c r="JOI3" s="15"/>
      <c r="JOJ3" s="15"/>
      <c r="JOK3" s="15"/>
      <c r="JOL3" s="15"/>
      <c r="JOM3" s="15"/>
      <c r="JON3" s="15"/>
      <c r="JOO3" s="15"/>
      <c r="JOP3" s="15"/>
      <c r="JOQ3" s="15"/>
      <c r="JOR3" s="15"/>
      <c r="JOS3" s="15"/>
      <c r="JOT3" s="15"/>
      <c r="JOU3" s="15"/>
      <c r="JOV3" s="15"/>
      <c r="JOW3" s="15"/>
      <c r="JOX3" s="15"/>
      <c r="JOY3" s="15"/>
      <c r="JOZ3" s="15"/>
      <c r="JPA3" s="15"/>
      <c r="JPB3" s="15"/>
      <c r="JPC3" s="15"/>
      <c r="JPD3" s="15"/>
      <c r="JPE3" s="15"/>
      <c r="JPF3" s="15"/>
      <c r="JPG3" s="15"/>
      <c r="JPH3" s="15"/>
      <c r="JPI3" s="15"/>
      <c r="JPJ3" s="15"/>
      <c r="JPK3" s="15"/>
      <c r="JPL3" s="15"/>
      <c r="JPM3" s="15"/>
      <c r="JPN3" s="15"/>
      <c r="JPO3" s="15"/>
      <c r="JPP3" s="15"/>
      <c r="JPQ3" s="15"/>
      <c r="JPR3" s="15"/>
      <c r="JPS3" s="15"/>
      <c r="JPT3" s="15"/>
      <c r="JPU3" s="15"/>
      <c r="JPV3" s="15"/>
      <c r="JPW3" s="15"/>
      <c r="JPX3" s="15"/>
      <c r="JPY3" s="15"/>
      <c r="JPZ3" s="15"/>
      <c r="JQA3" s="15"/>
      <c r="JQB3" s="15"/>
      <c r="JQC3" s="15"/>
      <c r="JQD3" s="15"/>
      <c r="JQE3" s="15"/>
      <c r="JQF3" s="15"/>
      <c r="JQG3" s="15"/>
      <c r="JQH3" s="15"/>
      <c r="JQI3" s="15"/>
      <c r="JQJ3" s="15"/>
      <c r="JQK3" s="15"/>
      <c r="JQL3" s="15"/>
      <c r="JQM3" s="15"/>
      <c r="JQN3" s="15"/>
      <c r="JQO3" s="15"/>
      <c r="JQP3" s="15"/>
      <c r="JQQ3" s="15"/>
      <c r="JQR3" s="15"/>
      <c r="JQS3" s="15"/>
      <c r="JQT3" s="15"/>
      <c r="JQU3" s="15"/>
      <c r="JQV3" s="15"/>
      <c r="JQW3" s="15"/>
      <c r="JQX3" s="15"/>
      <c r="JQY3" s="15"/>
      <c r="JQZ3" s="15"/>
      <c r="JRA3" s="15"/>
      <c r="JRB3" s="15"/>
      <c r="JRC3" s="15"/>
      <c r="JRD3" s="15"/>
      <c r="JRE3" s="15"/>
      <c r="JRF3" s="15"/>
      <c r="JRG3" s="15"/>
      <c r="JRH3" s="15"/>
      <c r="JRI3" s="15"/>
      <c r="JRJ3" s="15"/>
      <c r="JRK3" s="15"/>
      <c r="JRL3" s="15"/>
      <c r="JRM3" s="15"/>
      <c r="JRN3" s="15"/>
      <c r="JRO3" s="15"/>
      <c r="JRP3" s="15"/>
      <c r="JRQ3" s="15"/>
      <c r="JRR3" s="15"/>
      <c r="JRS3" s="15"/>
      <c r="JRT3" s="15"/>
      <c r="JRU3" s="15"/>
      <c r="JRV3" s="15"/>
      <c r="JRW3" s="15"/>
      <c r="JRX3" s="15"/>
      <c r="JRY3" s="15"/>
      <c r="JRZ3" s="15"/>
      <c r="JSA3" s="15"/>
      <c r="JSB3" s="15"/>
      <c r="JSC3" s="15"/>
      <c r="JSD3" s="15"/>
      <c r="JSE3" s="15"/>
      <c r="JSF3" s="15"/>
      <c r="JSG3" s="15"/>
      <c r="JSH3" s="15"/>
      <c r="JSI3" s="15"/>
      <c r="JSJ3" s="15"/>
      <c r="JSK3" s="15"/>
      <c r="JSL3" s="15"/>
      <c r="JSM3" s="15"/>
      <c r="JSN3" s="15"/>
      <c r="JSO3" s="15"/>
      <c r="JSP3" s="15"/>
      <c r="JSQ3" s="15"/>
      <c r="JSR3" s="15"/>
      <c r="JSS3" s="15"/>
      <c r="JST3" s="15"/>
      <c r="JSU3" s="15"/>
      <c r="JSV3" s="15"/>
      <c r="JSW3" s="15"/>
      <c r="JSX3" s="15"/>
      <c r="JSY3" s="15"/>
      <c r="JSZ3" s="15"/>
      <c r="JTA3" s="15"/>
      <c r="JTB3" s="15"/>
      <c r="JTC3" s="15"/>
      <c r="JTD3" s="15"/>
      <c r="JTE3" s="15"/>
      <c r="JTF3" s="15"/>
      <c r="JTG3" s="15"/>
      <c r="JTH3" s="15"/>
      <c r="JTI3" s="15"/>
      <c r="JTJ3" s="15"/>
      <c r="JTK3" s="15"/>
      <c r="JTL3" s="15"/>
      <c r="JTM3" s="15"/>
      <c r="JTN3" s="15"/>
      <c r="JTO3" s="15"/>
      <c r="JTP3" s="15"/>
      <c r="JTQ3" s="15"/>
      <c r="JTR3" s="15"/>
      <c r="JTS3" s="15"/>
      <c r="JTT3" s="15"/>
      <c r="JTU3" s="15"/>
      <c r="JTV3" s="15"/>
      <c r="JTW3" s="15"/>
      <c r="JTX3" s="15"/>
      <c r="JTY3" s="15"/>
      <c r="JTZ3" s="15"/>
      <c r="JUA3" s="15"/>
      <c r="JUB3" s="15"/>
      <c r="JUC3" s="15"/>
      <c r="JUD3" s="15"/>
      <c r="JUE3" s="15"/>
      <c r="JUF3" s="15"/>
      <c r="JUG3" s="15"/>
      <c r="JUH3" s="15"/>
      <c r="JUI3" s="15"/>
      <c r="JUJ3" s="15"/>
      <c r="JUK3" s="15"/>
      <c r="JUL3" s="15"/>
      <c r="JUM3" s="15"/>
      <c r="JUN3" s="15"/>
      <c r="JUO3" s="15"/>
      <c r="JUP3" s="15"/>
      <c r="JUQ3" s="15"/>
      <c r="JUR3" s="15"/>
      <c r="JUS3" s="15"/>
      <c r="JUT3" s="15"/>
      <c r="JUU3" s="15"/>
      <c r="JUV3" s="15"/>
      <c r="JUW3" s="15"/>
      <c r="JUX3" s="15"/>
      <c r="JUY3" s="15"/>
      <c r="JUZ3" s="15"/>
      <c r="JVA3" s="15"/>
      <c r="JVB3" s="15"/>
      <c r="JVC3" s="15"/>
      <c r="JVD3" s="15"/>
      <c r="JVE3" s="15"/>
      <c r="JVF3" s="15"/>
      <c r="JVG3" s="15"/>
      <c r="JVH3" s="15"/>
      <c r="JVI3" s="15"/>
      <c r="JVJ3" s="15"/>
      <c r="JVK3" s="15"/>
      <c r="JVL3" s="15"/>
      <c r="JVM3" s="15"/>
      <c r="JVN3" s="15"/>
      <c r="JVO3" s="15"/>
      <c r="JVP3" s="15"/>
      <c r="JVQ3" s="15"/>
      <c r="JVR3" s="15"/>
      <c r="JVS3" s="15"/>
      <c r="JVT3" s="15"/>
      <c r="JVU3" s="15"/>
      <c r="JVV3" s="15"/>
      <c r="JVW3" s="15"/>
      <c r="JVX3" s="15"/>
      <c r="JVY3" s="15"/>
      <c r="JVZ3" s="15"/>
      <c r="JWA3" s="15"/>
      <c r="JWB3" s="15"/>
      <c r="JWC3" s="15"/>
      <c r="JWD3" s="15"/>
      <c r="JWE3" s="15"/>
      <c r="JWF3" s="15"/>
      <c r="JWG3" s="15"/>
      <c r="JWH3" s="15"/>
      <c r="JWI3" s="15"/>
      <c r="JWJ3" s="15"/>
      <c r="JWK3" s="15"/>
      <c r="JWL3" s="15"/>
      <c r="JWM3" s="15"/>
      <c r="JWN3" s="15"/>
      <c r="JWO3" s="15"/>
      <c r="JWP3" s="15"/>
      <c r="JWQ3" s="15"/>
      <c r="JWR3" s="15"/>
      <c r="JWS3" s="15"/>
      <c r="JWT3" s="15"/>
      <c r="JWU3" s="15"/>
      <c r="JWV3" s="15"/>
      <c r="JWW3" s="15"/>
      <c r="JWX3" s="15"/>
      <c r="JWY3" s="15"/>
      <c r="JWZ3" s="15"/>
      <c r="JXA3" s="15"/>
      <c r="JXB3" s="15"/>
      <c r="JXC3" s="15"/>
      <c r="JXD3" s="15"/>
      <c r="JXE3" s="15"/>
      <c r="JXF3" s="15"/>
      <c r="JXG3" s="15"/>
      <c r="JXH3" s="15"/>
      <c r="JXI3" s="15"/>
      <c r="JXJ3" s="15"/>
      <c r="JXK3" s="15"/>
      <c r="JXL3" s="15"/>
      <c r="JXM3" s="15"/>
      <c r="JXN3" s="15"/>
      <c r="JXO3" s="15"/>
      <c r="JXP3" s="15"/>
      <c r="JXQ3" s="15"/>
      <c r="JXR3" s="15"/>
      <c r="JXS3" s="15"/>
      <c r="JXT3" s="15"/>
      <c r="JXU3" s="15"/>
      <c r="JXV3" s="15"/>
      <c r="JXW3" s="15"/>
      <c r="JXX3" s="15"/>
      <c r="JXY3" s="15"/>
      <c r="JXZ3" s="15"/>
      <c r="JYA3" s="15"/>
      <c r="JYB3" s="15"/>
      <c r="JYC3" s="15"/>
      <c r="JYD3" s="15"/>
      <c r="JYE3" s="15"/>
      <c r="JYF3" s="15"/>
      <c r="JYG3" s="15"/>
      <c r="JYH3" s="15"/>
      <c r="JYI3" s="15"/>
      <c r="JYJ3" s="15"/>
      <c r="JYK3" s="15"/>
      <c r="JYL3" s="15"/>
      <c r="JYM3" s="15"/>
      <c r="JYN3" s="15"/>
      <c r="JYO3" s="15"/>
      <c r="JYP3" s="15"/>
      <c r="JYQ3" s="15"/>
      <c r="JYR3" s="15"/>
      <c r="JYS3" s="15"/>
      <c r="JYT3" s="15"/>
      <c r="JYU3" s="15"/>
      <c r="JYV3" s="15"/>
      <c r="JYW3" s="15"/>
      <c r="JYX3" s="15"/>
      <c r="JYY3" s="15"/>
      <c r="JYZ3" s="15"/>
      <c r="JZA3" s="15"/>
      <c r="JZB3" s="15"/>
      <c r="JZC3" s="15"/>
      <c r="JZD3" s="15"/>
      <c r="JZE3" s="15"/>
      <c r="JZF3" s="15"/>
      <c r="JZG3" s="15"/>
      <c r="JZH3" s="15"/>
      <c r="JZI3" s="15"/>
      <c r="JZJ3" s="15"/>
      <c r="JZK3" s="15"/>
      <c r="JZL3" s="15"/>
      <c r="JZM3" s="15"/>
      <c r="JZN3" s="15"/>
      <c r="JZO3" s="15"/>
      <c r="JZP3" s="15"/>
      <c r="JZQ3" s="15"/>
      <c r="JZR3" s="15"/>
      <c r="JZS3" s="15"/>
      <c r="JZT3" s="15"/>
      <c r="JZU3" s="15"/>
      <c r="JZV3" s="15"/>
      <c r="JZW3" s="15"/>
      <c r="JZX3" s="15"/>
      <c r="JZY3" s="15"/>
      <c r="JZZ3" s="15"/>
      <c r="KAA3" s="15"/>
      <c r="KAB3" s="15"/>
      <c r="KAC3" s="15"/>
      <c r="KAD3" s="15"/>
      <c r="KAE3" s="15"/>
      <c r="KAF3" s="15"/>
      <c r="KAG3" s="15"/>
      <c r="KAH3" s="15"/>
      <c r="KAI3" s="15"/>
      <c r="KAJ3" s="15"/>
      <c r="KAK3" s="15"/>
      <c r="KAL3" s="15"/>
      <c r="KAM3" s="15"/>
      <c r="KAN3" s="15"/>
      <c r="KAO3" s="15"/>
      <c r="KAP3" s="15"/>
      <c r="KAQ3" s="15"/>
      <c r="KAR3" s="15"/>
      <c r="KAS3" s="15"/>
      <c r="KAT3" s="15"/>
      <c r="KAU3" s="15"/>
      <c r="KAV3" s="15"/>
      <c r="KAW3" s="15"/>
      <c r="KAX3" s="15"/>
      <c r="KAY3" s="15"/>
      <c r="KAZ3" s="15"/>
      <c r="KBA3" s="15"/>
      <c r="KBB3" s="15"/>
      <c r="KBC3" s="15"/>
      <c r="KBD3" s="15"/>
      <c r="KBE3" s="15"/>
      <c r="KBF3" s="15"/>
      <c r="KBG3" s="15"/>
      <c r="KBH3" s="15"/>
      <c r="KBI3" s="15"/>
      <c r="KBJ3" s="15"/>
      <c r="KBK3" s="15"/>
      <c r="KBL3" s="15"/>
      <c r="KBM3" s="15"/>
      <c r="KBN3" s="15"/>
      <c r="KBO3" s="15"/>
      <c r="KBP3" s="15"/>
      <c r="KBQ3" s="15"/>
      <c r="KBR3" s="15"/>
      <c r="KBS3" s="15"/>
      <c r="KBT3" s="15"/>
      <c r="KBU3" s="15"/>
      <c r="KBV3" s="15"/>
      <c r="KBW3" s="15"/>
      <c r="KBX3" s="15"/>
      <c r="KBY3" s="15"/>
      <c r="KBZ3" s="15"/>
      <c r="KCA3" s="15"/>
      <c r="KCB3" s="15"/>
      <c r="KCC3" s="15"/>
      <c r="KCD3" s="15"/>
      <c r="KCE3" s="15"/>
      <c r="KCF3" s="15"/>
      <c r="KCG3" s="15"/>
      <c r="KCH3" s="15"/>
      <c r="KCI3" s="15"/>
      <c r="KCJ3" s="15"/>
      <c r="KCK3" s="15"/>
      <c r="KCL3" s="15"/>
      <c r="KCM3" s="15"/>
      <c r="KCN3" s="15"/>
      <c r="KCO3" s="15"/>
      <c r="KCP3" s="15"/>
      <c r="KCQ3" s="15"/>
      <c r="KCR3" s="15"/>
      <c r="KCS3" s="15"/>
      <c r="KCT3" s="15"/>
      <c r="KCU3" s="15"/>
      <c r="KCV3" s="15"/>
      <c r="KCW3" s="15"/>
      <c r="KCX3" s="15"/>
      <c r="KCY3" s="15"/>
      <c r="KCZ3" s="15"/>
      <c r="KDA3" s="15"/>
      <c r="KDB3" s="15"/>
      <c r="KDC3" s="15"/>
      <c r="KDD3" s="15"/>
      <c r="KDE3" s="15"/>
      <c r="KDF3" s="15"/>
      <c r="KDG3" s="15"/>
      <c r="KDH3" s="15"/>
      <c r="KDI3" s="15"/>
      <c r="KDJ3" s="15"/>
      <c r="KDK3" s="15"/>
      <c r="KDL3" s="15"/>
      <c r="KDM3" s="15"/>
      <c r="KDN3" s="15"/>
      <c r="KDO3" s="15"/>
      <c r="KDP3" s="15"/>
      <c r="KDQ3" s="15"/>
      <c r="KDR3" s="15"/>
      <c r="KDS3" s="15"/>
      <c r="KDT3" s="15"/>
      <c r="KDU3" s="15"/>
      <c r="KDV3" s="15"/>
      <c r="KDW3" s="15"/>
      <c r="KDX3" s="15"/>
      <c r="KDY3" s="15"/>
      <c r="KDZ3" s="15"/>
      <c r="KEA3" s="15"/>
      <c r="KEB3" s="15"/>
      <c r="KEC3" s="15"/>
      <c r="KED3" s="15"/>
      <c r="KEE3" s="15"/>
      <c r="KEF3" s="15"/>
      <c r="KEG3" s="15"/>
      <c r="KEH3" s="15"/>
      <c r="KEI3" s="15"/>
      <c r="KEJ3" s="15"/>
      <c r="KEK3" s="15"/>
      <c r="KEL3" s="15"/>
      <c r="KEM3" s="15"/>
      <c r="KEN3" s="15"/>
      <c r="KEO3" s="15"/>
      <c r="KEP3" s="15"/>
      <c r="KEQ3" s="15"/>
      <c r="KER3" s="15"/>
      <c r="KES3" s="15"/>
      <c r="KET3" s="15"/>
      <c r="KEU3" s="15"/>
      <c r="KEV3" s="15"/>
      <c r="KEW3" s="15"/>
      <c r="KEX3" s="15"/>
      <c r="KEY3" s="15"/>
      <c r="KEZ3" s="15"/>
      <c r="KFA3" s="15"/>
      <c r="KFB3" s="15"/>
      <c r="KFC3" s="15"/>
      <c r="KFD3" s="15"/>
      <c r="KFE3" s="15"/>
      <c r="KFF3" s="15"/>
      <c r="KFG3" s="15"/>
      <c r="KFH3" s="15"/>
      <c r="KFI3" s="15"/>
      <c r="KFJ3" s="15"/>
      <c r="KFK3" s="15"/>
      <c r="KFL3" s="15"/>
      <c r="KFM3" s="15"/>
      <c r="KFN3" s="15"/>
      <c r="KFO3" s="15"/>
      <c r="KFP3" s="15"/>
      <c r="KFQ3" s="15"/>
      <c r="KFR3" s="15"/>
      <c r="KFS3" s="15"/>
      <c r="KFT3" s="15"/>
      <c r="KFU3" s="15"/>
      <c r="KFV3" s="15"/>
      <c r="KFW3" s="15"/>
      <c r="KFX3" s="15"/>
      <c r="KFY3" s="15"/>
      <c r="KFZ3" s="15"/>
      <c r="KGA3" s="15"/>
      <c r="KGB3" s="15"/>
      <c r="KGC3" s="15"/>
      <c r="KGD3" s="15"/>
      <c r="KGE3" s="15"/>
      <c r="KGF3" s="15"/>
      <c r="KGG3" s="15"/>
      <c r="KGH3" s="15"/>
      <c r="KGI3" s="15"/>
      <c r="KGJ3" s="15"/>
      <c r="KGK3" s="15"/>
      <c r="KGL3" s="15"/>
      <c r="KGM3" s="15"/>
      <c r="KGN3" s="15"/>
      <c r="KGO3" s="15"/>
      <c r="KGP3" s="15"/>
      <c r="KGQ3" s="15"/>
      <c r="KGR3" s="15"/>
      <c r="KGS3" s="15"/>
      <c r="KGT3" s="15"/>
      <c r="KGU3" s="15"/>
      <c r="KGV3" s="15"/>
      <c r="KGW3" s="15"/>
      <c r="KGX3" s="15"/>
      <c r="KGY3" s="15"/>
      <c r="KGZ3" s="15"/>
      <c r="KHA3" s="15"/>
      <c r="KHB3" s="15"/>
      <c r="KHC3" s="15"/>
      <c r="KHD3" s="15"/>
      <c r="KHE3" s="15"/>
      <c r="KHF3" s="15"/>
      <c r="KHG3" s="15"/>
      <c r="KHH3" s="15"/>
      <c r="KHI3" s="15"/>
      <c r="KHJ3" s="15"/>
      <c r="KHK3" s="15"/>
      <c r="KHL3" s="15"/>
      <c r="KHM3" s="15"/>
      <c r="KHN3" s="15"/>
      <c r="KHO3" s="15"/>
      <c r="KHP3" s="15"/>
      <c r="KHQ3" s="15"/>
      <c r="KHR3" s="15"/>
      <c r="KHS3" s="15"/>
      <c r="KHT3" s="15"/>
      <c r="KHU3" s="15"/>
      <c r="KHV3" s="15"/>
      <c r="KHW3" s="15"/>
      <c r="KHX3" s="15"/>
      <c r="KHY3" s="15"/>
      <c r="KHZ3" s="15"/>
      <c r="KIA3" s="15"/>
      <c r="KIB3" s="15"/>
      <c r="KIC3" s="15"/>
      <c r="KID3" s="15"/>
      <c r="KIE3" s="15"/>
      <c r="KIF3" s="15"/>
      <c r="KIG3" s="15"/>
      <c r="KIH3" s="15"/>
      <c r="KII3" s="15"/>
      <c r="KIJ3" s="15"/>
      <c r="KIK3" s="15"/>
      <c r="KIL3" s="15"/>
      <c r="KIM3" s="15"/>
      <c r="KIN3" s="15"/>
      <c r="KIO3" s="15"/>
      <c r="KIP3" s="15"/>
      <c r="KIQ3" s="15"/>
      <c r="KIR3" s="15"/>
      <c r="KIS3" s="15"/>
      <c r="KIT3" s="15"/>
      <c r="KIU3" s="15"/>
      <c r="KIV3" s="15"/>
      <c r="KIW3" s="15"/>
      <c r="KIX3" s="15"/>
      <c r="KIY3" s="15"/>
      <c r="KIZ3" s="15"/>
      <c r="KJA3" s="15"/>
      <c r="KJB3" s="15"/>
      <c r="KJC3" s="15"/>
      <c r="KJD3" s="15"/>
      <c r="KJE3" s="15"/>
      <c r="KJF3" s="15"/>
      <c r="KJG3" s="15"/>
      <c r="KJH3" s="15"/>
      <c r="KJI3" s="15"/>
      <c r="KJJ3" s="15"/>
      <c r="KJK3" s="15"/>
      <c r="KJL3" s="15"/>
      <c r="KJM3" s="15"/>
      <c r="KJN3" s="15"/>
      <c r="KJO3" s="15"/>
      <c r="KJP3" s="15"/>
      <c r="KJQ3" s="15"/>
      <c r="KJR3" s="15"/>
      <c r="KJS3" s="15"/>
      <c r="KJT3" s="15"/>
      <c r="KJU3" s="15"/>
      <c r="KJV3" s="15"/>
      <c r="KJW3" s="15"/>
      <c r="KJX3" s="15"/>
      <c r="KJY3" s="15"/>
      <c r="KJZ3" s="15"/>
      <c r="KKA3" s="15"/>
      <c r="KKB3" s="15"/>
      <c r="KKC3" s="15"/>
      <c r="KKD3" s="15"/>
      <c r="KKE3" s="15"/>
      <c r="KKF3" s="15"/>
      <c r="KKG3" s="15"/>
      <c r="KKH3" s="15"/>
      <c r="KKI3" s="15"/>
      <c r="KKJ3" s="15"/>
      <c r="KKK3" s="15"/>
      <c r="KKL3" s="15"/>
      <c r="KKM3" s="15"/>
      <c r="KKN3" s="15"/>
      <c r="KKO3" s="15"/>
      <c r="KKP3" s="15"/>
      <c r="KKQ3" s="15"/>
      <c r="KKR3" s="15"/>
      <c r="KKS3" s="15"/>
      <c r="KKT3" s="15"/>
      <c r="KKU3" s="15"/>
      <c r="KKV3" s="15"/>
      <c r="KKW3" s="15"/>
      <c r="KKX3" s="15"/>
      <c r="KKY3" s="15"/>
      <c r="KKZ3" s="15"/>
      <c r="KLA3" s="15"/>
      <c r="KLB3" s="15"/>
      <c r="KLC3" s="15"/>
      <c r="KLD3" s="15"/>
      <c r="KLE3" s="15"/>
      <c r="KLF3" s="15"/>
      <c r="KLG3" s="15"/>
      <c r="KLH3" s="15"/>
      <c r="KLI3" s="15"/>
      <c r="KLJ3" s="15"/>
      <c r="KLK3" s="15"/>
      <c r="KLL3" s="15"/>
      <c r="KLM3" s="15"/>
      <c r="KLN3" s="15"/>
      <c r="KLO3" s="15"/>
      <c r="KLP3" s="15"/>
      <c r="KLQ3" s="15"/>
      <c r="KLR3" s="15"/>
      <c r="KLS3" s="15"/>
      <c r="KLT3" s="15"/>
      <c r="KLU3" s="15"/>
      <c r="KLV3" s="15"/>
      <c r="KLW3" s="15"/>
      <c r="KLX3" s="15"/>
      <c r="KLY3" s="15"/>
      <c r="KLZ3" s="15"/>
      <c r="KMA3" s="15"/>
      <c r="KMB3" s="15"/>
      <c r="KMC3" s="15"/>
      <c r="KMD3" s="15"/>
      <c r="KME3" s="15"/>
      <c r="KMF3" s="15"/>
      <c r="KMG3" s="15"/>
      <c r="KMH3" s="15"/>
      <c r="KMI3" s="15"/>
      <c r="KMJ3" s="15"/>
      <c r="KMK3" s="15"/>
      <c r="KML3" s="15"/>
      <c r="KMM3" s="15"/>
      <c r="KMN3" s="15"/>
      <c r="KMO3" s="15"/>
      <c r="KMP3" s="15"/>
      <c r="KMQ3" s="15"/>
      <c r="KMR3" s="15"/>
      <c r="KMS3" s="15"/>
      <c r="KMT3" s="15"/>
      <c r="KMU3" s="15"/>
      <c r="KMV3" s="15"/>
      <c r="KMW3" s="15"/>
      <c r="KMX3" s="15"/>
      <c r="KMY3" s="15"/>
      <c r="KMZ3" s="15"/>
      <c r="KNA3" s="15"/>
      <c r="KNB3" s="15"/>
      <c r="KNC3" s="15"/>
      <c r="KND3" s="15"/>
      <c r="KNE3" s="15"/>
      <c r="KNF3" s="15"/>
      <c r="KNG3" s="15"/>
      <c r="KNH3" s="15"/>
      <c r="KNI3" s="15"/>
      <c r="KNJ3" s="15"/>
      <c r="KNK3" s="15"/>
      <c r="KNL3" s="15"/>
      <c r="KNM3" s="15"/>
      <c r="KNN3" s="15"/>
      <c r="KNO3" s="15"/>
      <c r="KNP3" s="15"/>
      <c r="KNQ3" s="15"/>
      <c r="KNR3" s="15"/>
      <c r="KNS3" s="15"/>
      <c r="KNT3" s="15"/>
      <c r="KNU3" s="15"/>
      <c r="KNV3" s="15"/>
      <c r="KNW3" s="15"/>
      <c r="KNX3" s="15"/>
      <c r="KNY3" s="15"/>
      <c r="KNZ3" s="15"/>
      <c r="KOA3" s="15"/>
      <c r="KOB3" s="15"/>
      <c r="KOC3" s="15"/>
      <c r="KOD3" s="15"/>
      <c r="KOE3" s="15"/>
      <c r="KOF3" s="15"/>
      <c r="KOG3" s="15"/>
      <c r="KOH3" s="15"/>
      <c r="KOI3" s="15"/>
      <c r="KOJ3" s="15"/>
      <c r="KOK3" s="15"/>
      <c r="KOL3" s="15"/>
      <c r="KOM3" s="15"/>
      <c r="KON3" s="15"/>
      <c r="KOO3" s="15"/>
      <c r="KOP3" s="15"/>
      <c r="KOQ3" s="15"/>
      <c r="KOR3" s="15"/>
      <c r="KOS3" s="15"/>
      <c r="KOT3" s="15"/>
      <c r="KOU3" s="15"/>
      <c r="KOV3" s="15"/>
      <c r="KOW3" s="15"/>
      <c r="KOX3" s="15"/>
      <c r="KOY3" s="15"/>
      <c r="KOZ3" s="15"/>
      <c r="KPA3" s="15"/>
      <c r="KPB3" s="15"/>
      <c r="KPC3" s="15"/>
      <c r="KPD3" s="15"/>
      <c r="KPE3" s="15"/>
      <c r="KPF3" s="15"/>
      <c r="KPG3" s="15"/>
      <c r="KPH3" s="15"/>
      <c r="KPI3" s="15"/>
      <c r="KPJ3" s="15"/>
      <c r="KPK3" s="15"/>
      <c r="KPL3" s="15"/>
      <c r="KPM3" s="15"/>
      <c r="KPN3" s="15"/>
      <c r="KPO3" s="15"/>
      <c r="KPP3" s="15"/>
      <c r="KPQ3" s="15"/>
      <c r="KPR3" s="15"/>
      <c r="KPS3" s="15"/>
      <c r="KPT3" s="15"/>
      <c r="KPU3" s="15"/>
      <c r="KPV3" s="15"/>
      <c r="KPW3" s="15"/>
      <c r="KPX3" s="15"/>
      <c r="KPY3" s="15"/>
      <c r="KPZ3" s="15"/>
      <c r="KQA3" s="15"/>
      <c r="KQB3" s="15"/>
      <c r="KQC3" s="15"/>
      <c r="KQD3" s="15"/>
      <c r="KQE3" s="15"/>
      <c r="KQF3" s="15"/>
      <c r="KQG3" s="15"/>
      <c r="KQH3" s="15"/>
      <c r="KQI3" s="15"/>
      <c r="KQJ3" s="15"/>
      <c r="KQK3" s="15"/>
      <c r="KQL3" s="15"/>
      <c r="KQM3" s="15"/>
      <c r="KQN3" s="15"/>
      <c r="KQO3" s="15"/>
      <c r="KQP3" s="15"/>
      <c r="KQQ3" s="15"/>
      <c r="KQR3" s="15"/>
      <c r="KQS3" s="15"/>
      <c r="KQT3" s="15"/>
      <c r="KQU3" s="15"/>
      <c r="KQV3" s="15"/>
      <c r="KQW3" s="15"/>
      <c r="KQX3" s="15"/>
      <c r="KQY3" s="15"/>
      <c r="KQZ3" s="15"/>
      <c r="KRA3" s="15"/>
      <c r="KRB3" s="15"/>
      <c r="KRC3" s="15"/>
      <c r="KRD3" s="15"/>
      <c r="KRE3" s="15"/>
      <c r="KRF3" s="15"/>
      <c r="KRG3" s="15"/>
      <c r="KRH3" s="15"/>
      <c r="KRI3" s="15"/>
      <c r="KRJ3" s="15"/>
      <c r="KRK3" s="15"/>
      <c r="KRL3" s="15"/>
      <c r="KRM3" s="15"/>
      <c r="KRN3" s="15"/>
      <c r="KRO3" s="15"/>
      <c r="KRP3" s="15"/>
      <c r="KRQ3" s="15"/>
      <c r="KRR3" s="15"/>
      <c r="KRS3" s="15"/>
      <c r="KRT3" s="15"/>
      <c r="KRU3" s="15"/>
      <c r="KRV3" s="15"/>
      <c r="KRW3" s="15"/>
      <c r="KRX3" s="15"/>
      <c r="KRY3" s="15"/>
      <c r="KRZ3" s="15"/>
      <c r="KSA3" s="15"/>
      <c r="KSB3" s="15"/>
      <c r="KSC3" s="15"/>
      <c r="KSD3" s="15"/>
      <c r="KSE3" s="15"/>
      <c r="KSF3" s="15"/>
      <c r="KSG3" s="15"/>
      <c r="KSH3" s="15"/>
      <c r="KSI3" s="15"/>
      <c r="KSJ3" s="15"/>
      <c r="KSK3" s="15"/>
      <c r="KSL3" s="15"/>
      <c r="KSM3" s="15"/>
      <c r="KSN3" s="15"/>
      <c r="KSO3" s="15"/>
      <c r="KSP3" s="15"/>
      <c r="KSQ3" s="15"/>
      <c r="KSR3" s="15"/>
      <c r="KSS3" s="15"/>
      <c r="KST3" s="15"/>
      <c r="KSU3" s="15"/>
      <c r="KSV3" s="15"/>
      <c r="KSW3" s="15"/>
      <c r="KSX3" s="15"/>
      <c r="KSY3" s="15"/>
      <c r="KSZ3" s="15"/>
      <c r="KTA3" s="15"/>
      <c r="KTB3" s="15"/>
      <c r="KTC3" s="15"/>
      <c r="KTD3" s="15"/>
      <c r="KTE3" s="15"/>
      <c r="KTF3" s="15"/>
      <c r="KTG3" s="15"/>
      <c r="KTH3" s="15"/>
      <c r="KTI3" s="15"/>
      <c r="KTJ3" s="15"/>
      <c r="KTK3" s="15"/>
      <c r="KTL3" s="15"/>
      <c r="KTM3" s="15"/>
      <c r="KTN3" s="15"/>
      <c r="KTO3" s="15"/>
      <c r="KTP3" s="15"/>
      <c r="KTQ3" s="15"/>
      <c r="KTR3" s="15"/>
      <c r="KTS3" s="15"/>
      <c r="KTT3" s="15"/>
      <c r="KTU3" s="15"/>
      <c r="KTV3" s="15"/>
      <c r="KTW3" s="15"/>
      <c r="KTX3" s="15"/>
      <c r="KTY3" s="15"/>
      <c r="KTZ3" s="15"/>
      <c r="KUA3" s="15"/>
      <c r="KUB3" s="15"/>
      <c r="KUC3" s="15"/>
      <c r="KUD3" s="15"/>
      <c r="KUE3" s="15"/>
      <c r="KUF3" s="15"/>
      <c r="KUG3" s="15"/>
      <c r="KUH3" s="15"/>
      <c r="KUI3" s="15"/>
      <c r="KUJ3" s="15"/>
      <c r="KUK3" s="15"/>
      <c r="KUL3" s="15"/>
      <c r="KUM3" s="15"/>
      <c r="KUN3" s="15"/>
      <c r="KUO3" s="15"/>
      <c r="KUP3" s="15"/>
      <c r="KUQ3" s="15"/>
      <c r="KUR3" s="15"/>
      <c r="KUS3" s="15"/>
      <c r="KUT3" s="15"/>
      <c r="KUU3" s="15"/>
      <c r="KUV3" s="15"/>
      <c r="KUW3" s="15"/>
      <c r="KUX3" s="15"/>
      <c r="KUY3" s="15"/>
      <c r="KUZ3" s="15"/>
      <c r="KVA3" s="15"/>
      <c r="KVB3" s="15"/>
      <c r="KVC3" s="15"/>
      <c r="KVD3" s="15"/>
      <c r="KVE3" s="15"/>
      <c r="KVF3" s="15"/>
      <c r="KVG3" s="15"/>
      <c r="KVH3" s="15"/>
      <c r="KVI3" s="15"/>
      <c r="KVJ3" s="15"/>
      <c r="KVK3" s="15"/>
      <c r="KVL3" s="15"/>
      <c r="KVM3" s="15"/>
      <c r="KVN3" s="15"/>
      <c r="KVO3" s="15"/>
      <c r="KVP3" s="15"/>
      <c r="KVQ3" s="15"/>
      <c r="KVR3" s="15"/>
      <c r="KVS3" s="15"/>
      <c r="KVT3" s="15"/>
      <c r="KVU3" s="15"/>
      <c r="KVV3" s="15"/>
      <c r="KVW3" s="15"/>
      <c r="KVX3" s="15"/>
      <c r="KVY3" s="15"/>
      <c r="KVZ3" s="15"/>
      <c r="KWA3" s="15"/>
      <c r="KWB3" s="15"/>
      <c r="KWC3" s="15"/>
      <c r="KWD3" s="15"/>
      <c r="KWE3" s="15"/>
      <c r="KWF3" s="15"/>
      <c r="KWG3" s="15"/>
      <c r="KWH3" s="15"/>
      <c r="KWI3" s="15"/>
      <c r="KWJ3" s="15"/>
      <c r="KWK3" s="15"/>
      <c r="KWL3" s="15"/>
      <c r="KWM3" s="15"/>
      <c r="KWN3" s="15"/>
      <c r="KWO3" s="15"/>
      <c r="KWP3" s="15"/>
      <c r="KWQ3" s="15"/>
      <c r="KWR3" s="15"/>
      <c r="KWS3" s="15"/>
      <c r="KWT3" s="15"/>
      <c r="KWU3" s="15"/>
      <c r="KWV3" s="15"/>
      <c r="KWW3" s="15"/>
      <c r="KWX3" s="15"/>
      <c r="KWY3" s="15"/>
      <c r="KWZ3" s="15"/>
      <c r="KXA3" s="15"/>
      <c r="KXB3" s="15"/>
      <c r="KXC3" s="15"/>
      <c r="KXD3" s="15"/>
      <c r="KXE3" s="15"/>
      <c r="KXF3" s="15"/>
      <c r="KXG3" s="15"/>
      <c r="KXH3" s="15"/>
      <c r="KXI3" s="15"/>
      <c r="KXJ3" s="15"/>
      <c r="KXK3" s="15"/>
      <c r="KXL3" s="15"/>
      <c r="KXM3" s="15"/>
      <c r="KXN3" s="15"/>
      <c r="KXO3" s="15"/>
      <c r="KXP3" s="15"/>
      <c r="KXQ3" s="15"/>
      <c r="KXR3" s="15"/>
      <c r="KXS3" s="15"/>
      <c r="KXT3" s="15"/>
      <c r="KXU3" s="15"/>
      <c r="KXV3" s="15"/>
      <c r="KXW3" s="15"/>
      <c r="KXX3" s="15"/>
      <c r="KXY3" s="15"/>
      <c r="KXZ3" s="15"/>
      <c r="KYA3" s="15"/>
      <c r="KYB3" s="15"/>
      <c r="KYC3" s="15"/>
      <c r="KYD3" s="15"/>
      <c r="KYE3" s="15"/>
      <c r="KYF3" s="15"/>
      <c r="KYG3" s="15"/>
      <c r="KYH3" s="15"/>
      <c r="KYI3" s="15"/>
      <c r="KYJ3" s="15"/>
      <c r="KYK3" s="15"/>
      <c r="KYL3" s="15"/>
      <c r="KYM3" s="15"/>
      <c r="KYN3" s="15"/>
      <c r="KYO3" s="15"/>
      <c r="KYP3" s="15"/>
      <c r="KYQ3" s="15"/>
      <c r="KYR3" s="15"/>
      <c r="KYS3" s="15"/>
      <c r="KYT3" s="15"/>
      <c r="KYU3" s="15"/>
      <c r="KYV3" s="15"/>
      <c r="KYW3" s="15"/>
      <c r="KYX3" s="15"/>
      <c r="KYY3" s="15"/>
      <c r="KYZ3" s="15"/>
      <c r="KZA3" s="15"/>
      <c r="KZB3" s="15"/>
      <c r="KZC3" s="15"/>
      <c r="KZD3" s="15"/>
      <c r="KZE3" s="15"/>
      <c r="KZF3" s="15"/>
      <c r="KZG3" s="15"/>
      <c r="KZH3" s="15"/>
      <c r="KZI3" s="15"/>
      <c r="KZJ3" s="15"/>
      <c r="KZK3" s="15"/>
      <c r="KZL3" s="15"/>
      <c r="KZM3" s="15"/>
      <c r="KZN3" s="15"/>
      <c r="KZO3" s="15"/>
      <c r="KZP3" s="15"/>
      <c r="KZQ3" s="15"/>
      <c r="KZR3" s="15"/>
      <c r="KZS3" s="15"/>
      <c r="KZT3" s="15"/>
      <c r="KZU3" s="15"/>
      <c r="KZV3" s="15"/>
      <c r="KZW3" s="15"/>
      <c r="KZX3" s="15"/>
      <c r="KZY3" s="15"/>
      <c r="KZZ3" s="15"/>
      <c r="LAA3" s="15"/>
      <c r="LAB3" s="15"/>
      <c r="LAC3" s="15"/>
      <c r="LAD3" s="15"/>
      <c r="LAE3" s="15"/>
      <c r="LAF3" s="15"/>
      <c r="LAG3" s="15"/>
      <c r="LAH3" s="15"/>
      <c r="LAI3" s="15"/>
      <c r="LAJ3" s="15"/>
      <c r="LAK3" s="15"/>
      <c r="LAL3" s="15"/>
      <c r="LAM3" s="15"/>
      <c r="LAN3" s="15"/>
      <c r="LAO3" s="15"/>
      <c r="LAP3" s="15"/>
      <c r="LAQ3" s="15"/>
      <c r="LAR3" s="15"/>
      <c r="LAS3" s="15"/>
      <c r="LAT3" s="15"/>
      <c r="LAU3" s="15"/>
      <c r="LAV3" s="15"/>
      <c r="LAW3" s="15"/>
      <c r="LAX3" s="15"/>
      <c r="LAY3" s="15"/>
      <c r="LAZ3" s="15"/>
      <c r="LBA3" s="15"/>
      <c r="LBB3" s="15"/>
      <c r="LBC3" s="15"/>
      <c r="LBD3" s="15"/>
      <c r="LBE3" s="15"/>
      <c r="LBF3" s="15"/>
      <c r="LBG3" s="15"/>
      <c r="LBH3" s="15"/>
      <c r="LBI3" s="15"/>
      <c r="LBJ3" s="15"/>
      <c r="LBK3" s="15"/>
      <c r="LBL3" s="15"/>
      <c r="LBM3" s="15"/>
      <c r="LBN3" s="15"/>
      <c r="LBO3" s="15"/>
      <c r="LBP3" s="15"/>
      <c r="LBQ3" s="15"/>
      <c r="LBR3" s="15"/>
      <c r="LBS3" s="15"/>
      <c r="LBT3" s="15"/>
      <c r="LBU3" s="15"/>
      <c r="LBV3" s="15"/>
      <c r="LBW3" s="15"/>
      <c r="LBX3" s="15"/>
      <c r="LBY3" s="15"/>
      <c r="LBZ3" s="15"/>
      <c r="LCA3" s="15"/>
      <c r="LCB3" s="15"/>
      <c r="LCC3" s="15"/>
      <c r="LCD3" s="15"/>
      <c r="LCE3" s="15"/>
      <c r="LCF3" s="15"/>
      <c r="LCG3" s="15"/>
      <c r="LCH3" s="15"/>
      <c r="LCI3" s="15"/>
      <c r="LCJ3" s="15"/>
      <c r="LCK3" s="15"/>
      <c r="LCL3" s="15"/>
      <c r="LCM3" s="15"/>
      <c r="LCN3" s="15"/>
      <c r="LCO3" s="15"/>
      <c r="LCP3" s="15"/>
      <c r="LCQ3" s="15"/>
      <c r="LCR3" s="15"/>
      <c r="LCS3" s="15"/>
      <c r="LCT3" s="15"/>
      <c r="LCU3" s="15"/>
      <c r="LCV3" s="15"/>
      <c r="LCW3" s="15"/>
      <c r="LCX3" s="15"/>
      <c r="LCY3" s="15"/>
      <c r="LCZ3" s="15"/>
      <c r="LDA3" s="15"/>
      <c r="LDB3" s="15"/>
      <c r="LDC3" s="15"/>
      <c r="LDD3" s="15"/>
      <c r="LDE3" s="15"/>
      <c r="LDF3" s="15"/>
      <c r="LDG3" s="15"/>
      <c r="LDH3" s="15"/>
      <c r="LDI3" s="15"/>
      <c r="LDJ3" s="15"/>
      <c r="LDK3" s="15"/>
      <c r="LDL3" s="15"/>
      <c r="LDM3" s="15"/>
      <c r="LDN3" s="15"/>
      <c r="LDO3" s="15"/>
      <c r="LDP3" s="15"/>
      <c r="LDQ3" s="15"/>
      <c r="LDR3" s="15"/>
      <c r="LDS3" s="15"/>
      <c r="LDT3" s="15"/>
      <c r="LDU3" s="15"/>
      <c r="LDV3" s="15"/>
      <c r="LDW3" s="15"/>
      <c r="LDX3" s="15"/>
      <c r="LDY3" s="15"/>
      <c r="LDZ3" s="15"/>
      <c r="LEA3" s="15"/>
      <c r="LEB3" s="15"/>
      <c r="LEC3" s="15"/>
      <c r="LED3" s="15"/>
      <c r="LEE3" s="15"/>
      <c r="LEF3" s="15"/>
      <c r="LEG3" s="15"/>
      <c r="LEH3" s="15"/>
      <c r="LEI3" s="15"/>
      <c r="LEJ3" s="15"/>
      <c r="LEK3" s="15"/>
      <c r="LEL3" s="15"/>
      <c r="LEM3" s="15"/>
      <c r="LEN3" s="15"/>
      <c r="LEO3" s="15"/>
      <c r="LEP3" s="15"/>
      <c r="LEQ3" s="15"/>
      <c r="LER3" s="15"/>
      <c r="LES3" s="15"/>
      <c r="LET3" s="15"/>
      <c r="LEU3" s="15"/>
      <c r="LEV3" s="15"/>
      <c r="LEW3" s="15"/>
      <c r="LEX3" s="15"/>
      <c r="LEY3" s="15"/>
      <c r="LEZ3" s="15"/>
      <c r="LFA3" s="15"/>
      <c r="LFB3" s="15"/>
      <c r="LFC3" s="15"/>
      <c r="LFD3" s="15"/>
      <c r="LFE3" s="15"/>
      <c r="LFF3" s="15"/>
      <c r="LFG3" s="15"/>
      <c r="LFH3" s="15"/>
      <c r="LFI3" s="15"/>
      <c r="LFJ3" s="15"/>
      <c r="LFK3" s="15"/>
      <c r="LFL3" s="15"/>
      <c r="LFM3" s="15"/>
      <c r="LFN3" s="15"/>
      <c r="LFO3" s="15"/>
      <c r="LFP3" s="15"/>
      <c r="LFQ3" s="15"/>
      <c r="LFR3" s="15"/>
      <c r="LFS3" s="15"/>
      <c r="LFT3" s="15"/>
      <c r="LFU3" s="15"/>
      <c r="LFV3" s="15"/>
      <c r="LFW3" s="15"/>
      <c r="LFX3" s="15"/>
      <c r="LFY3" s="15"/>
      <c r="LFZ3" s="15"/>
      <c r="LGA3" s="15"/>
      <c r="LGB3" s="15"/>
      <c r="LGC3" s="15"/>
      <c r="LGD3" s="15"/>
      <c r="LGE3" s="15"/>
      <c r="LGF3" s="15"/>
      <c r="LGG3" s="15"/>
      <c r="LGH3" s="15"/>
      <c r="LGI3" s="15"/>
      <c r="LGJ3" s="15"/>
      <c r="LGK3" s="15"/>
      <c r="LGL3" s="15"/>
      <c r="LGM3" s="15"/>
      <c r="LGN3" s="15"/>
      <c r="LGO3" s="15"/>
      <c r="LGP3" s="15"/>
      <c r="LGQ3" s="15"/>
      <c r="LGR3" s="15"/>
      <c r="LGS3" s="15"/>
      <c r="LGT3" s="15"/>
      <c r="LGU3" s="15"/>
      <c r="LGV3" s="15"/>
      <c r="LGW3" s="15"/>
      <c r="LGX3" s="15"/>
      <c r="LGY3" s="15"/>
      <c r="LGZ3" s="15"/>
      <c r="LHA3" s="15"/>
      <c r="LHB3" s="15"/>
      <c r="LHC3" s="15"/>
      <c r="LHD3" s="15"/>
      <c r="LHE3" s="15"/>
      <c r="LHF3" s="15"/>
      <c r="LHG3" s="15"/>
      <c r="LHH3" s="15"/>
      <c r="LHI3" s="15"/>
      <c r="LHJ3" s="15"/>
      <c r="LHK3" s="15"/>
      <c r="LHL3" s="15"/>
      <c r="LHM3" s="15"/>
      <c r="LHN3" s="15"/>
      <c r="LHO3" s="15"/>
      <c r="LHP3" s="15"/>
      <c r="LHQ3" s="15"/>
      <c r="LHR3" s="15"/>
      <c r="LHS3" s="15"/>
      <c r="LHT3" s="15"/>
      <c r="LHU3" s="15"/>
      <c r="LHV3" s="15"/>
      <c r="LHW3" s="15"/>
      <c r="LHX3" s="15"/>
      <c r="LHY3" s="15"/>
      <c r="LHZ3" s="15"/>
      <c r="LIA3" s="15"/>
      <c r="LIB3" s="15"/>
      <c r="LIC3" s="15"/>
      <c r="LID3" s="15"/>
      <c r="LIE3" s="15"/>
      <c r="LIF3" s="15"/>
      <c r="LIG3" s="15"/>
      <c r="LIH3" s="15"/>
      <c r="LII3" s="15"/>
      <c r="LIJ3" s="15"/>
      <c r="LIK3" s="15"/>
      <c r="LIL3" s="15"/>
      <c r="LIM3" s="15"/>
      <c r="LIN3" s="15"/>
      <c r="LIO3" s="15"/>
      <c r="LIP3" s="15"/>
      <c r="LIQ3" s="15"/>
      <c r="LIR3" s="15"/>
      <c r="LIS3" s="15"/>
      <c r="LIT3" s="15"/>
      <c r="LIU3" s="15"/>
      <c r="LIV3" s="15"/>
      <c r="LIW3" s="15"/>
      <c r="LIX3" s="15"/>
      <c r="LIY3" s="15"/>
      <c r="LIZ3" s="15"/>
      <c r="LJA3" s="15"/>
      <c r="LJB3" s="15"/>
      <c r="LJC3" s="15"/>
      <c r="LJD3" s="15"/>
      <c r="LJE3" s="15"/>
      <c r="LJF3" s="15"/>
      <c r="LJG3" s="15"/>
      <c r="LJH3" s="15"/>
      <c r="LJI3" s="15"/>
      <c r="LJJ3" s="15"/>
      <c r="LJK3" s="15"/>
      <c r="LJL3" s="15"/>
      <c r="LJM3" s="15"/>
      <c r="LJN3" s="15"/>
      <c r="LJO3" s="15"/>
      <c r="LJP3" s="15"/>
      <c r="LJQ3" s="15"/>
      <c r="LJR3" s="15"/>
      <c r="LJS3" s="15"/>
      <c r="LJT3" s="15"/>
      <c r="LJU3" s="15"/>
      <c r="LJV3" s="15"/>
      <c r="LJW3" s="15"/>
      <c r="LJX3" s="15"/>
      <c r="LJY3" s="15"/>
      <c r="LJZ3" s="15"/>
      <c r="LKA3" s="15"/>
      <c r="LKB3" s="15"/>
      <c r="LKC3" s="15"/>
      <c r="LKD3" s="15"/>
      <c r="LKE3" s="15"/>
      <c r="LKF3" s="15"/>
      <c r="LKG3" s="15"/>
      <c r="LKH3" s="15"/>
      <c r="LKI3" s="15"/>
      <c r="LKJ3" s="15"/>
      <c r="LKK3" s="15"/>
      <c r="LKL3" s="15"/>
      <c r="LKM3" s="15"/>
      <c r="LKN3" s="15"/>
      <c r="LKO3" s="15"/>
      <c r="LKP3" s="15"/>
      <c r="LKQ3" s="15"/>
      <c r="LKR3" s="15"/>
      <c r="LKS3" s="15"/>
      <c r="LKT3" s="15"/>
      <c r="LKU3" s="15"/>
      <c r="LKV3" s="15"/>
      <c r="LKW3" s="15"/>
      <c r="LKX3" s="15"/>
      <c r="LKY3" s="15"/>
      <c r="LKZ3" s="15"/>
      <c r="LLA3" s="15"/>
      <c r="LLB3" s="15"/>
      <c r="LLC3" s="15"/>
      <c r="LLD3" s="15"/>
      <c r="LLE3" s="15"/>
      <c r="LLF3" s="15"/>
      <c r="LLG3" s="15"/>
      <c r="LLH3" s="15"/>
      <c r="LLI3" s="15"/>
      <c r="LLJ3" s="15"/>
      <c r="LLK3" s="15"/>
      <c r="LLL3" s="15"/>
      <c r="LLM3" s="15"/>
      <c r="LLN3" s="15"/>
      <c r="LLO3" s="15"/>
      <c r="LLP3" s="15"/>
      <c r="LLQ3" s="15"/>
      <c r="LLR3" s="15"/>
      <c r="LLS3" s="15"/>
      <c r="LLT3" s="15"/>
      <c r="LLU3" s="15"/>
      <c r="LLV3" s="15"/>
      <c r="LLW3" s="15"/>
      <c r="LLX3" s="15"/>
      <c r="LLY3" s="15"/>
      <c r="LLZ3" s="15"/>
      <c r="LMA3" s="15"/>
      <c r="LMB3" s="15"/>
      <c r="LMC3" s="15"/>
      <c r="LMD3" s="15"/>
      <c r="LME3" s="15"/>
      <c r="LMF3" s="15"/>
      <c r="LMG3" s="15"/>
      <c r="LMH3" s="15"/>
      <c r="LMI3" s="15"/>
      <c r="LMJ3" s="15"/>
      <c r="LMK3" s="15"/>
      <c r="LML3" s="15"/>
      <c r="LMM3" s="15"/>
      <c r="LMN3" s="15"/>
      <c r="LMO3" s="15"/>
      <c r="LMP3" s="15"/>
      <c r="LMQ3" s="15"/>
      <c r="LMR3" s="15"/>
      <c r="LMS3" s="15"/>
      <c r="LMT3" s="15"/>
      <c r="LMU3" s="15"/>
      <c r="LMV3" s="15"/>
      <c r="LMW3" s="15"/>
      <c r="LMX3" s="15"/>
      <c r="LMY3" s="15"/>
      <c r="LMZ3" s="15"/>
      <c r="LNA3" s="15"/>
      <c r="LNB3" s="15"/>
      <c r="LNC3" s="15"/>
      <c r="LND3" s="15"/>
      <c r="LNE3" s="15"/>
      <c r="LNF3" s="15"/>
      <c r="LNG3" s="15"/>
      <c r="LNH3" s="15"/>
      <c r="LNI3" s="15"/>
      <c r="LNJ3" s="15"/>
      <c r="LNK3" s="15"/>
      <c r="LNL3" s="15"/>
      <c r="LNM3" s="15"/>
      <c r="LNN3" s="15"/>
      <c r="LNO3" s="15"/>
      <c r="LNP3" s="15"/>
      <c r="LNQ3" s="15"/>
      <c r="LNR3" s="15"/>
      <c r="LNS3" s="15"/>
      <c r="LNT3" s="15"/>
      <c r="LNU3" s="15"/>
      <c r="LNV3" s="15"/>
      <c r="LNW3" s="15"/>
      <c r="LNX3" s="15"/>
      <c r="LNY3" s="15"/>
      <c r="LNZ3" s="15"/>
      <c r="LOA3" s="15"/>
      <c r="LOB3" s="15"/>
      <c r="LOC3" s="15"/>
      <c r="LOD3" s="15"/>
      <c r="LOE3" s="15"/>
      <c r="LOF3" s="15"/>
      <c r="LOG3" s="15"/>
      <c r="LOH3" s="15"/>
      <c r="LOI3" s="15"/>
      <c r="LOJ3" s="15"/>
      <c r="LOK3" s="15"/>
      <c r="LOL3" s="15"/>
      <c r="LOM3" s="15"/>
      <c r="LON3" s="15"/>
      <c r="LOO3" s="15"/>
      <c r="LOP3" s="15"/>
      <c r="LOQ3" s="15"/>
      <c r="LOR3" s="15"/>
      <c r="LOS3" s="15"/>
      <c r="LOT3" s="15"/>
      <c r="LOU3" s="15"/>
      <c r="LOV3" s="15"/>
      <c r="LOW3" s="15"/>
      <c r="LOX3" s="15"/>
      <c r="LOY3" s="15"/>
      <c r="LOZ3" s="15"/>
      <c r="LPA3" s="15"/>
      <c r="LPB3" s="15"/>
      <c r="LPC3" s="15"/>
      <c r="LPD3" s="15"/>
      <c r="LPE3" s="15"/>
      <c r="LPF3" s="15"/>
      <c r="LPG3" s="15"/>
      <c r="LPH3" s="15"/>
      <c r="LPI3" s="15"/>
      <c r="LPJ3" s="15"/>
      <c r="LPK3" s="15"/>
      <c r="LPL3" s="15"/>
      <c r="LPM3" s="15"/>
      <c r="LPN3" s="15"/>
      <c r="LPO3" s="15"/>
      <c r="LPP3" s="15"/>
      <c r="LPQ3" s="15"/>
      <c r="LPR3" s="15"/>
      <c r="LPS3" s="15"/>
      <c r="LPT3" s="15"/>
      <c r="LPU3" s="15"/>
      <c r="LPV3" s="15"/>
      <c r="LPW3" s="15"/>
      <c r="LPX3" s="15"/>
      <c r="LPY3" s="15"/>
      <c r="LPZ3" s="15"/>
      <c r="LQA3" s="15"/>
      <c r="LQB3" s="15"/>
      <c r="LQC3" s="15"/>
      <c r="LQD3" s="15"/>
      <c r="LQE3" s="15"/>
      <c r="LQF3" s="15"/>
      <c r="LQG3" s="15"/>
      <c r="LQH3" s="15"/>
      <c r="LQI3" s="15"/>
      <c r="LQJ3" s="15"/>
      <c r="LQK3" s="15"/>
      <c r="LQL3" s="15"/>
      <c r="LQM3" s="15"/>
      <c r="LQN3" s="15"/>
      <c r="LQO3" s="15"/>
      <c r="LQP3" s="15"/>
      <c r="LQQ3" s="15"/>
      <c r="LQR3" s="15"/>
      <c r="LQS3" s="15"/>
      <c r="LQT3" s="15"/>
      <c r="LQU3" s="15"/>
      <c r="LQV3" s="15"/>
      <c r="LQW3" s="15"/>
      <c r="LQX3" s="15"/>
      <c r="LQY3" s="15"/>
      <c r="LQZ3" s="15"/>
      <c r="LRA3" s="15"/>
      <c r="LRB3" s="15"/>
      <c r="LRC3" s="15"/>
      <c r="LRD3" s="15"/>
      <c r="LRE3" s="15"/>
      <c r="LRF3" s="15"/>
      <c r="LRG3" s="15"/>
      <c r="LRH3" s="15"/>
      <c r="LRI3" s="15"/>
      <c r="LRJ3" s="15"/>
      <c r="LRK3" s="15"/>
      <c r="LRL3" s="15"/>
      <c r="LRM3" s="15"/>
      <c r="LRN3" s="15"/>
      <c r="LRO3" s="15"/>
      <c r="LRP3" s="15"/>
      <c r="LRQ3" s="15"/>
      <c r="LRR3" s="15"/>
      <c r="LRS3" s="15"/>
      <c r="LRT3" s="15"/>
      <c r="LRU3" s="15"/>
      <c r="LRV3" s="15"/>
      <c r="LRW3" s="15"/>
      <c r="LRX3" s="15"/>
      <c r="LRY3" s="15"/>
      <c r="LRZ3" s="15"/>
      <c r="LSA3" s="15"/>
      <c r="LSB3" s="15"/>
      <c r="LSC3" s="15"/>
      <c r="LSD3" s="15"/>
      <c r="LSE3" s="15"/>
      <c r="LSF3" s="15"/>
      <c r="LSG3" s="15"/>
      <c r="LSH3" s="15"/>
      <c r="LSI3" s="15"/>
      <c r="LSJ3" s="15"/>
      <c r="LSK3" s="15"/>
      <c r="LSL3" s="15"/>
      <c r="LSM3" s="15"/>
      <c r="LSN3" s="15"/>
      <c r="LSO3" s="15"/>
      <c r="LSP3" s="15"/>
      <c r="LSQ3" s="15"/>
      <c r="LSR3" s="15"/>
      <c r="LSS3" s="15"/>
      <c r="LST3" s="15"/>
      <c r="LSU3" s="15"/>
      <c r="LSV3" s="15"/>
      <c r="LSW3" s="15"/>
      <c r="LSX3" s="15"/>
      <c r="LSY3" s="15"/>
      <c r="LSZ3" s="15"/>
      <c r="LTA3" s="15"/>
      <c r="LTB3" s="15"/>
      <c r="LTC3" s="15"/>
      <c r="LTD3" s="15"/>
      <c r="LTE3" s="15"/>
      <c r="LTF3" s="15"/>
      <c r="LTG3" s="15"/>
      <c r="LTH3" s="15"/>
      <c r="LTI3" s="15"/>
      <c r="LTJ3" s="15"/>
      <c r="LTK3" s="15"/>
      <c r="LTL3" s="15"/>
      <c r="LTM3" s="15"/>
      <c r="LTN3" s="15"/>
      <c r="LTO3" s="15"/>
      <c r="LTP3" s="15"/>
      <c r="LTQ3" s="15"/>
      <c r="LTR3" s="15"/>
      <c r="LTS3" s="15"/>
      <c r="LTT3" s="15"/>
      <c r="LTU3" s="15"/>
      <c r="LTV3" s="15"/>
      <c r="LTW3" s="15"/>
      <c r="LTX3" s="15"/>
      <c r="LTY3" s="15"/>
      <c r="LTZ3" s="15"/>
      <c r="LUA3" s="15"/>
      <c r="LUB3" s="15"/>
      <c r="LUC3" s="15"/>
      <c r="LUD3" s="15"/>
      <c r="LUE3" s="15"/>
      <c r="LUF3" s="15"/>
      <c r="LUG3" s="15"/>
      <c r="LUH3" s="15"/>
      <c r="LUI3" s="15"/>
      <c r="LUJ3" s="15"/>
      <c r="LUK3" s="15"/>
      <c r="LUL3" s="15"/>
      <c r="LUM3" s="15"/>
      <c r="LUN3" s="15"/>
      <c r="LUO3" s="15"/>
      <c r="LUP3" s="15"/>
      <c r="LUQ3" s="15"/>
      <c r="LUR3" s="15"/>
      <c r="LUS3" s="15"/>
      <c r="LUT3" s="15"/>
      <c r="LUU3" s="15"/>
      <c r="LUV3" s="15"/>
      <c r="LUW3" s="15"/>
      <c r="LUX3" s="15"/>
      <c r="LUY3" s="15"/>
      <c r="LUZ3" s="15"/>
      <c r="LVA3" s="15"/>
      <c r="LVB3" s="15"/>
      <c r="LVC3" s="15"/>
      <c r="LVD3" s="15"/>
      <c r="LVE3" s="15"/>
      <c r="LVF3" s="15"/>
      <c r="LVG3" s="15"/>
      <c r="LVH3" s="15"/>
      <c r="LVI3" s="15"/>
      <c r="LVJ3" s="15"/>
      <c r="LVK3" s="15"/>
      <c r="LVL3" s="15"/>
      <c r="LVM3" s="15"/>
      <c r="LVN3" s="15"/>
      <c r="LVO3" s="15"/>
      <c r="LVP3" s="15"/>
      <c r="LVQ3" s="15"/>
      <c r="LVR3" s="15"/>
      <c r="LVS3" s="15"/>
      <c r="LVT3" s="15"/>
      <c r="LVU3" s="15"/>
      <c r="LVV3" s="15"/>
      <c r="LVW3" s="15"/>
      <c r="LVX3" s="15"/>
      <c r="LVY3" s="15"/>
      <c r="LVZ3" s="15"/>
      <c r="LWA3" s="15"/>
      <c r="LWB3" s="15"/>
      <c r="LWC3" s="15"/>
      <c r="LWD3" s="15"/>
      <c r="LWE3" s="15"/>
      <c r="LWF3" s="15"/>
      <c r="LWG3" s="15"/>
      <c r="LWH3" s="15"/>
      <c r="LWI3" s="15"/>
      <c r="LWJ3" s="15"/>
      <c r="LWK3" s="15"/>
      <c r="LWL3" s="15"/>
      <c r="LWM3" s="15"/>
      <c r="LWN3" s="15"/>
      <c r="LWO3" s="15"/>
      <c r="LWP3" s="15"/>
      <c r="LWQ3" s="15"/>
      <c r="LWR3" s="15"/>
      <c r="LWS3" s="15"/>
      <c r="LWT3" s="15"/>
      <c r="LWU3" s="15"/>
      <c r="LWV3" s="15"/>
      <c r="LWW3" s="15"/>
      <c r="LWX3" s="15"/>
      <c r="LWY3" s="15"/>
      <c r="LWZ3" s="15"/>
      <c r="LXA3" s="15"/>
      <c r="LXB3" s="15"/>
      <c r="LXC3" s="15"/>
      <c r="LXD3" s="15"/>
      <c r="LXE3" s="15"/>
      <c r="LXF3" s="15"/>
      <c r="LXG3" s="15"/>
      <c r="LXH3" s="15"/>
      <c r="LXI3" s="15"/>
      <c r="LXJ3" s="15"/>
      <c r="LXK3" s="15"/>
      <c r="LXL3" s="15"/>
      <c r="LXM3" s="15"/>
      <c r="LXN3" s="15"/>
      <c r="LXO3" s="15"/>
      <c r="LXP3" s="15"/>
      <c r="LXQ3" s="15"/>
      <c r="LXR3" s="15"/>
      <c r="LXS3" s="15"/>
      <c r="LXT3" s="15"/>
      <c r="LXU3" s="15"/>
      <c r="LXV3" s="15"/>
      <c r="LXW3" s="15"/>
      <c r="LXX3" s="15"/>
      <c r="LXY3" s="15"/>
      <c r="LXZ3" s="15"/>
      <c r="LYA3" s="15"/>
      <c r="LYB3" s="15"/>
      <c r="LYC3" s="15"/>
      <c r="LYD3" s="15"/>
      <c r="LYE3" s="15"/>
      <c r="LYF3" s="15"/>
      <c r="LYG3" s="15"/>
      <c r="LYH3" s="15"/>
      <c r="LYI3" s="15"/>
      <c r="LYJ3" s="15"/>
      <c r="LYK3" s="15"/>
      <c r="LYL3" s="15"/>
      <c r="LYM3" s="15"/>
      <c r="LYN3" s="15"/>
      <c r="LYO3" s="15"/>
      <c r="LYP3" s="15"/>
      <c r="LYQ3" s="15"/>
      <c r="LYR3" s="15"/>
      <c r="LYS3" s="15"/>
      <c r="LYT3" s="15"/>
      <c r="LYU3" s="15"/>
      <c r="LYV3" s="15"/>
      <c r="LYW3" s="15"/>
      <c r="LYX3" s="15"/>
      <c r="LYY3" s="15"/>
      <c r="LYZ3" s="15"/>
      <c r="LZA3" s="15"/>
      <c r="LZB3" s="15"/>
      <c r="LZC3" s="15"/>
      <c r="LZD3" s="15"/>
      <c r="LZE3" s="15"/>
      <c r="LZF3" s="15"/>
      <c r="LZG3" s="15"/>
      <c r="LZH3" s="15"/>
      <c r="LZI3" s="15"/>
      <c r="LZJ3" s="15"/>
      <c r="LZK3" s="15"/>
      <c r="LZL3" s="15"/>
      <c r="LZM3" s="15"/>
      <c r="LZN3" s="15"/>
      <c r="LZO3" s="15"/>
      <c r="LZP3" s="15"/>
      <c r="LZQ3" s="15"/>
      <c r="LZR3" s="15"/>
      <c r="LZS3" s="15"/>
      <c r="LZT3" s="15"/>
      <c r="LZU3" s="15"/>
      <c r="LZV3" s="15"/>
      <c r="LZW3" s="15"/>
      <c r="LZX3" s="15"/>
      <c r="LZY3" s="15"/>
      <c r="LZZ3" s="15"/>
      <c r="MAA3" s="15"/>
      <c r="MAB3" s="15"/>
      <c r="MAC3" s="15"/>
      <c r="MAD3" s="15"/>
      <c r="MAE3" s="15"/>
      <c r="MAF3" s="15"/>
      <c r="MAG3" s="15"/>
      <c r="MAH3" s="15"/>
      <c r="MAI3" s="15"/>
      <c r="MAJ3" s="15"/>
      <c r="MAK3" s="15"/>
      <c r="MAL3" s="15"/>
      <c r="MAM3" s="15"/>
      <c r="MAN3" s="15"/>
      <c r="MAO3" s="15"/>
      <c r="MAP3" s="15"/>
      <c r="MAQ3" s="15"/>
      <c r="MAR3" s="15"/>
      <c r="MAS3" s="15"/>
      <c r="MAT3" s="15"/>
      <c r="MAU3" s="15"/>
      <c r="MAV3" s="15"/>
      <c r="MAW3" s="15"/>
      <c r="MAX3" s="15"/>
      <c r="MAY3" s="15"/>
      <c r="MAZ3" s="15"/>
      <c r="MBA3" s="15"/>
      <c r="MBB3" s="15"/>
      <c r="MBC3" s="15"/>
      <c r="MBD3" s="15"/>
      <c r="MBE3" s="15"/>
      <c r="MBF3" s="15"/>
      <c r="MBG3" s="15"/>
      <c r="MBH3" s="15"/>
      <c r="MBI3" s="15"/>
      <c r="MBJ3" s="15"/>
      <c r="MBK3" s="15"/>
      <c r="MBL3" s="15"/>
      <c r="MBM3" s="15"/>
      <c r="MBN3" s="15"/>
      <c r="MBO3" s="15"/>
      <c r="MBP3" s="15"/>
      <c r="MBQ3" s="15"/>
      <c r="MBR3" s="15"/>
      <c r="MBS3" s="15"/>
      <c r="MBT3" s="15"/>
      <c r="MBU3" s="15"/>
      <c r="MBV3" s="15"/>
      <c r="MBW3" s="15"/>
      <c r="MBX3" s="15"/>
      <c r="MBY3" s="15"/>
      <c r="MBZ3" s="15"/>
      <c r="MCA3" s="15"/>
      <c r="MCB3" s="15"/>
      <c r="MCC3" s="15"/>
      <c r="MCD3" s="15"/>
      <c r="MCE3" s="15"/>
      <c r="MCF3" s="15"/>
      <c r="MCG3" s="15"/>
      <c r="MCH3" s="15"/>
      <c r="MCI3" s="15"/>
      <c r="MCJ3" s="15"/>
      <c r="MCK3" s="15"/>
      <c r="MCL3" s="15"/>
      <c r="MCM3" s="15"/>
      <c r="MCN3" s="15"/>
      <c r="MCO3" s="15"/>
      <c r="MCP3" s="15"/>
      <c r="MCQ3" s="15"/>
      <c r="MCR3" s="15"/>
      <c r="MCS3" s="15"/>
      <c r="MCT3" s="15"/>
      <c r="MCU3" s="15"/>
      <c r="MCV3" s="15"/>
      <c r="MCW3" s="15"/>
      <c r="MCX3" s="15"/>
      <c r="MCY3" s="15"/>
      <c r="MCZ3" s="15"/>
      <c r="MDA3" s="15"/>
      <c r="MDB3" s="15"/>
      <c r="MDC3" s="15"/>
      <c r="MDD3" s="15"/>
      <c r="MDE3" s="15"/>
      <c r="MDF3" s="15"/>
      <c r="MDG3" s="15"/>
      <c r="MDH3" s="15"/>
      <c r="MDI3" s="15"/>
      <c r="MDJ3" s="15"/>
      <c r="MDK3" s="15"/>
      <c r="MDL3" s="15"/>
      <c r="MDM3" s="15"/>
      <c r="MDN3" s="15"/>
      <c r="MDO3" s="15"/>
      <c r="MDP3" s="15"/>
      <c r="MDQ3" s="15"/>
      <c r="MDR3" s="15"/>
      <c r="MDS3" s="15"/>
      <c r="MDT3" s="15"/>
      <c r="MDU3" s="15"/>
      <c r="MDV3" s="15"/>
      <c r="MDW3" s="15"/>
      <c r="MDX3" s="15"/>
      <c r="MDY3" s="15"/>
      <c r="MDZ3" s="15"/>
      <c r="MEA3" s="15"/>
      <c r="MEB3" s="15"/>
      <c r="MEC3" s="15"/>
      <c r="MED3" s="15"/>
      <c r="MEE3" s="15"/>
      <c r="MEF3" s="15"/>
      <c r="MEG3" s="15"/>
      <c r="MEH3" s="15"/>
      <c r="MEI3" s="15"/>
      <c r="MEJ3" s="15"/>
      <c r="MEK3" s="15"/>
      <c r="MEL3" s="15"/>
      <c r="MEM3" s="15"/>
      <c r="MEN3" s="15"/>
      <c r="MEO3" s="15"/>
      <c r="MEP3" s="15"/>
      <c r="MEQ3" s="15"/>
      <c r="MER3" s="15"/>
      <c r="MES3" s="15"/>
      <c r="MET3" s="15"/>
      <c r="MEU3" s="15"/>
      <c r="MEV3" s="15"/>
      <c r="MEW3" s="15"/>
      <c r="MEX3" s="15"/>
      <c r="MEY3" s="15"/>
      <c r="MEZ3" s="15"/>
      <c r="MFA3" s="15"/>
      <c r="MFB3" s="15"/>
      <c r="MFC3" s="15"/>
      <c r="MFD3" s="15"/>
      <c r="MFE3" s="15"/>
      <c r="MFF3" s="15"/>
      <c r="MFG3" s="15"/>
      <c r="MFH3" s="15"/>
      <c r="MFI3" s="15"/>
      <c r="MFJ3" s="15"/>
      <c r="MFK3" s="15"/>
      <c r="MFL3" s="15"/>
      <c r="MFM3" s="15"/>
      <c r="MFN3" s="15"/>
      <c r="MFO3" s="15"/>
      <c r="MFP3" s="15"/>
      <c r="MFQ3" s="15"/>
      <c r="MFR3" s="15"/>
      <c r="MFS3" s="15"/>
      <c r="MFT3" s="15"/>
      <c r="MFU3" s="15"/>
      <c r="MFV3" s="15"/>
      <c r="MFW3" s="15"/>
      <c r="MFX3" s="15"/>
      <c r="MFY3" s="15"/>
      <c r="MFZ3" s="15"/>
      <c r="MGA3" s="15"/>
      <c r="MGB3" s="15"/>
      <c r="MGC3" s="15"/>
      <c r="MGD3" s="15"/>
      <c r="MGE3" s="15"/>
      <c r="MGF3" s="15"/>
      <c r="MGG3" s="15"/>
      <c r="MGH3" s="15"/>
      <c r="MGI3" s="15"/>
      <c r="MGJ3" s="15"/>
      <c r="MGK3" s="15"/>
      <c r="MGL3" s="15"/>
      <c r="MGM3" s="15"/>
      <c r="MGN3" s="15"/>
      <c r="MGO3" s="15"/>
      <c r="MGP3" s="15"/>
      <c r="MGQ3" s="15"/>
      <c r="MGR3" s="15"/>
      <c r="MGS3" s="15"/>
      <c r="MGT3" s="15"/>
      <c r="MGU3" s="15"/>
      <c r="MGV3" s="15"/>
      <c r="MGW3" s="15"/>
      <c r="MGX3" s="15"/>
      <c r="MGY3" s="15"/>
      <c r="MGZ3" s="15"/>
      <c r="MHA3" s="15"/>
      <c r="MHB3" s="15"/>
      <c r="MHC3" s="15"/>
      <c r="MHD3" s="15"/>
      <c r="MHE3" s="15"/>
      <c r="MHF3" s="15"/>
      <c r="MHG3" s="15"/>
      <c r="MHH3" s="15"/>
      <c r="MHI3" s="15"/>
      <c r="MHJ3" s="15"/>
      <c r="MHK3" s="15"/>
      <c r="MHL3" s="15"/>
      <c r="MHM3" s="15"/>
      <c r="MHN3" s="15"/>
      <c r="MHO3" s="15"/>
      <c r="MHP3" s="15"/>
      <c r="MHQ3" s="15"/>
      <c r="MHR3" s="15"/>
      <c r="MHS3" s="15"/>
      <c r="MHT3" s="15"/>
      <c r="MHU3" s="15"/>
      <c r="MHV3" s="15"/>
      <c r="MHW3" s="15"/>
      <c r="MHX3" s="15"/>
      <c r="MHY3" s="15"/>
      <c r="MHZ3" s="15"/>
      <c r="MIA3" s="15"/>
      <c r="MIB3" s="15"/>
      <c r="MIC3" s="15"/>
      <c r="MID3" s="15"/>
      <c r="MIE3" s="15"/>
      <c r="MIF3" s="15"/>
      <c r="MIG3" s="15"/>
      <c r="MIH3" s="15"/>
      <c r="MII3" s="15"/>
      <c r="MIJ3" s="15"/>
      <c r="MIK3" s="15"/>
      <c r="MIL3" s="15"/>
      <c r="MIM3" s="15"/>
      <c r="MIN3" s="15"/>
      <c r="MIO3" s="15"/>
      <c r="MIP3" s="15"/>
      <c r="MIQ3" s="15"/>
      <c r="MIR3" s="15"/>
      <c r="MIS3" s="15"/>
      <c r="MIT3" s="15"/>
      <c r="MIU3" s="15"/>
      <c r="MIV3" s="15"/>
      <c r="MIW3" s="15"/>
      <c r="MIX3" s="15"/>
      <c r="MIY3" s="15"/>
      <c r="MIZ3" s="15"/>
      <c r="MJA3" s="15"/>
      <c r="MJB3" s="15"/>
      <c r="MJC3" s="15"/>
      <c r="MJD3" s="15"/>
      <c r="MJE3" s="15"/>
      <c r="MJF3" s="15"/>
      <c r="MJG3" s="15"/>
      <c r="MJH3" s="15"/>
      <c r="MJI3" s="15"/>
      <c r="MJJ3" s="15"/>
      <c r="MJK3" s="15"/>
      <c r="MJL3" s="15"/>
      <c r="MJM3" s="15"/>
      <c r="MJN3" s="15"/>
      <c r="MJO3" s="15"/>
      <c r="MJP3" s="15"/>
      <c r="MJQ3" s="15"/>
      <c r="MJR3" s="15"/>
      <c r="MJS3" s="15"/>
      <c r="MJT3" s="15"/>
      <c r="MJU3" s="15"/>
      <c r="MJV3" s="15"/>
      <c r="MJW3" s="15"/>
      <c r="MJX3" s="15"/>
      <c r="MJY3" s="15"/>
      <c r="MJZ3" s="15"/>
      <c r="MKA3" s="15"/>
      <c r="MKB3" s="15"/>
      <c r="MKC3" s="15"/>
      <c r="MKD3" s="15"/>
      <c r="MKE3" s="15"/>
      <c r="MKF3" s="15"/>
      <c r="MKG3" s="15"/>
      <c r="MKH3" s="15"/>
      <c r="MKI3" s="15"/>
      <c r="MKJ3" s="15"/>
      <c r="MKK3" s="15"/>
      <c r="MKL3" s="15"/>
      <c r="MKM3" s="15"/>
      <c r="MKN3" s="15"/>
      <c r="MKO3" s="15"/>
      <c r="MKP3" s="15"/>
      <c r="MKQ3" s="15"/>
      <c r="MKR3" s="15"/>
      <c r="MKS3" s="15"/>
      <c r="MKT3" s="15"/>
      <c r="MKU3" s="15"/>
      <c r="MKV3" s="15"/>
      <c r="MKW3" s="15"/>
      <c r="MKX3" s="15"/>
      <c r="MKY3" s="15"/>
      <c r="MKZ3" s="15"/>
      <c r="MLA3" s="15"/>
      <c r="MLB3" s="15"/>
      <c r="MLC3" s="15"/>
      <c r="MLD3" s="15"/>
      <c r="MLE3" s="15"/>
      <c r="MLF3" s="15"/>
      <c r="MLG3" s="15"/>
      <c r="MLH3" s="15"/>
      <c r="MLI3" s="15"/>
      <c r="MLJ3" s="15"/>
      <c r="MLK3" s="15"/>
      <c r="MLL3" s="15"/>
      <c r="MLM3" s="15"/>
      <c r="MLN3" s="15"/>
      <c r="MLO3" s="15"/>
      <c r="MLP3" s="15"/>
      <c r="MLQ3" s="15"/>
      <c r="MLR3" s="15"/>
      <c r="MLS3" s="15"/>
      <c r="MLT3" s="15"/>
      <c r="MLU3" s="15"/>
      <c r="MLV3" s="15"/>
      <c r="MLW3" s="15"/>
      <c r="MLX3" s="15"/>
      <c r="MLY3" s="15"/>
      <c r="MLZ3" s="15"/>
      <c r="MMA3" s="15"/>
      <c r="MMB3" s="15"/>
      <c r="MMC3" s="15"/>
      <c r="MMD3" s="15"/>
      <c r="MME3" s="15"/>
      <c r="MMF3" s="15"/>
      <c r="MMG3" s="15"/>
      <c r="MMH3" s="15"/>
      <c r="MMI3" s="15"/>
      <c r="MMJ3" s="15"/>
      <c r="MMK3" s="15"/>
      <c r="MML3" s="15"/>
      <c r="MMM3" s="15"/>
      <c r="MMN3" s="15"/>
      <c r="MMO3" s="15"/>
      <c r="MMP3" s="15"/>
      <c r="MMQ3" s="15"/>
      <c r="MMR3" s="15"/>
      <c r="MMS3" s="15"/>
      <c r="MMT3" s="15"/>
      <c r="MMU3" s="15"/>
      <c r="MMV3" s="15"/>
      <c r="MMW3" s="15"/>
      <c r="MMX3" s="15"/>
      <c r="MMY3" s="15"/>
      <c r="MMZ3" s="15"/>
      <c r="MNA3" s="15"/>
      <c r="MNB3" s="15"/>
      <c r="MNC3" s="15"/>
      <c r="MND3" s="15"/>
      <c r="MNE3" s="15"/>
      <c r="MNF3" s="15"/>
      <c r="MNG3" s="15"/>
      <c r="MNH3" s="15"/>
      <c r="MNI3" s="15"/>
      <c r="MNJ3" s="15"/>
      <c r="MNK3" s="15"/>
      <c r="MNL3" s="15"/>
      <c r="MNM3" s="15"/>
      <c r="MNN3" s="15"/>
      <c r="MNO3" s="15"/>
      <c r="MNP3" s="15"/>
      <c r="MNQ3" s="15"/>
      <c r="MNR3" s="15"/>
      <c r="MNS3" s="15"/>
      <c r="MNT3" s="15"/>
      <c r="MNU3" s="15"/>
      <c r="MNV3" s="15"/>
      <c r="MNW3" s="15"/>
      <c r="MNX3" s="15"/>
      <c r="MNY3" s="15"/>
      <c r="MNZ3" s="15"/>
      <c r="MOA3" s="15"/>
      <c r="MOB3" s="15"/>
      <c r="MOC3" s="15"/>
      <c r="MOD3" s="15"/>
      <c r="MOE3" s="15"/>
      <c r="MOF3" s="15"/>
      <c r="MOG3" s="15"/>
      <c r="MOH3" s="15"/>
      <c r="MOI3" s="15"/>
      <c r="MOJ3" s="15"/>
      <c r="MOK3" s="15"/>
      <c r="MOL3" s="15"/>
      <c r="MOM3" s="15"/>
      <c r="MON3" s="15"/>
      <c r="MOO3" s="15"/>
      <c r="MOP3" s="15"/>
      <c r="MOQ3" s="15"/>
      <c r="MOR3" s="15"/>
      <c r="MOS3" s="15"/>
      <c r="MOT3" s="15"/>
      <c r="MOU3" s="15"/>
      <c r="MOV3" s="15"/>
      <c r="MOW3" s="15"/>
      <c r="MOX3" s="15"/>
      <c r="MOY3" s="15"/>
      <c r="MOZ3" s="15"/>
      <c r="MPA3" s="15"/>
      <c r="MPB3" s="15"/>
      <c r="MPC3" s="15"/>
      <c r="MPD3" s="15"/>
      <c r="MPE3" s="15"/>
      <c r="MPF3" s="15"/>
      <c r="MPG3" s="15"/>
      <c r="MPH3" s="15"/>
      <c r="MPI3" s="15"/>
      <c r="MPJ3" s="15"/>
      <c r="MPK3" s="15"/>
      <c r="MPL3" s="15"/>
      <c r="MPM3" s="15"/>
      <c r="MPN3" s="15"/>
      <c r="MPO3" s="15"/>
      <c r="MPP3" s="15"/>
      <c r="MPQ3" s="15"/>
      <c r="MPR3" s="15"/>
      <c r="MPS3" s="15"/>
      <c r="MPT3" s="15"/>
      <c r="MPU3" s="15"/>
      <c r="MPV3" s="15"/>
      <c r="MPW3" s="15"/>
      <c r="MPX3" s="15"/>
      <c r="MPY3" s="15"/>
      <c r="MPZ3" s="15"/>
      <c r="MQA3" s="15"/>
      <c r="MQB3" s="15"/>
      <c r="MQC3" s="15"/>
      <c r="MQD3" s="15"/>
      <c r="MQE3" s="15"/>
      <c r="MQF3" s="15"/>
      <c r="MQG3" s="15"/>
      <c r="MQH3" s="15"/>
      <c r="MQI3" s="15"/>
      <c r="MQJ3" s="15"/>
      <c r="MQK3" s="15"/>
      <c r="MQL3" s="15"/>
      <c r="MQM3" s="15"/>
      <c r="MQN3" s="15"/>
      <c r="MQO3" s="15"/>
      <c r="MQP3" s="15"/>
      <c r="MQQ3" s="15"/>
      <c r="MQR3" s="15"/>
      <c r="MQS3" s="15"/>
      <c r="MQT3" s="15"/>
      <c r="MQU3" s="15"/>
      <c r="MQV3" s="15"/>
      <c r="MQW3" s="15"/>
      <c r="MQX3" s="15"/>
      <c r="MQY3" s="15"/>
      <c r="MQZ3" s="15"/>
      <c r="MRA3" s="15"/>
      <c r="MRB3" s="15"/>
      <c r="MRC3" s="15"/>
      <c r="MRD3" s="15"/>
      <c r="MRE3" s="15"/>
      <c r="MRF3" s="15"/>
      <c r="MRG3" s="15"/>
      <c r="MRH3" s="15"/>
      <c r="MRI3" s="15"/>
      <c r="MRJ3" s="15"/>
      <c r="MRK3" s="15"/>
      <c r="MRL3" s="15"/>
      <c r="MRM3" s="15"/>
      <c r="MRN3" s="15"/>
      <c r="MRO3" s="15"/>
      <c r="MRP3" s="15"/>
      <c r="MRQ3" s="15"/>
      <c r="MRR3" s="15"/>
      <c r="MRS3" s="15"/>
      <c r="MRT3" s="15"/>
      <c r="MRU3" s="15"/>
      <c r="MRV3" s="15"/>
      <c r="MRW3" s="15"/>
      <c r="MRX3" s="15"/>
      <c r="MRY3" s="15"/>
      <c r="MRZ3" s="15"/>
      <c r="MSA3" s="15"/>
      <c r="MSB3" s="15"/>
      <c r="MSC3" s="15"/>
      <c r="MSD3" s="15"/>
      <c r="MSE3" s="15"/>
      <c r="MSF3" s="15"/>
      <c r="MSG3" s="15"/>
      <c r="MSH3" s="15"/>
      <c r="MSI3" s="15"/>
      <c r="MSJ3" s="15"/>
      <c r="MSK3" s="15"/>
      <c r="MSL3" s="15"/>
      <c r="MSM3" s="15"/>
      <c r="MSN3" s="15"/>
      <c r="MSO3" s="15"/>
      <c r="MSP3" s="15"/>
      <c r="MSQ3" s="15"/>
      <c r="MSR3" s="15"/>
      <c r="MSS3" s="15"/>
      <c r="MST3" s="15"/>
      <c r="MSU3" s="15"/>
      <c r="MSV3" s="15"/>
      <c r="MSW3" s="15"/>
      <c r="MSX3" s="15"/>
      <c r="MSY3" s="15"/>
      <c r="MSZ3" s="15"/>
      <c r="MTA3" s="15"/>
      <c r="MTB3" s="15"/>
      <c r="MTC3" s="15"/>
      <c r="MTD3" s="15"/>
      <c r="MTE3" s="15"/>
      <c r="MTF3" s="15"/>
      <c r="MTG3" s="15"/>
      <c r="MTH3" s="15"/>
      <c r="MTI3" s="15"/>
      <c r="MTJ3" s="15"/>
      <c r="MTK3" s="15"/>
      <c r="MTL3" s="15"/>
      <c r="MTM3" s="15"/>
      <c r="MTN3" s="15"/>
      <c r="MTO3" s="15"/>
      <c r="MTP3" s="15"/>
      <c r="MTQ3" s="15"/>
      <c r="MTR3" s="15"/>
      <c r="MTS3" s="15"/>
      <c r="MTT3" s="15"/>
      <c r="MTU3" s="15"/>
      <c r="MTV3" s="15"/>
      <c r="MTW3" s="15"/>
      <c r="MTX3" s="15"/>
      <c r="MTY3" s="15"/>
      <c r="MTZ3" s="15"/>
      <c r="MUA3" s="15"/>
      <c r="MUB3" s="15"/>
      <c r="MUC3" s="15"/>
      <c r="MUD3" s="15"/>
      <c r="MUE3" s="15"/>
      <c r="MUF3" s="15"/>
      <c r="MUG3" s="15"/>
      <c r="MUH3" s="15"/>
      <c r="MUI3" s="15"/>
      <c r="MUJ3" s="15"/>
      <c r="MUK3" s="15"/>
      <c r="MUL3" s="15"/>
      <c r="MUM3" s="15"/>
      <c r="MUN3" s="15"/>
      <c r="MUO3" s="15"/>
      <c r="MUP3" s="15"/>
      <c r="MUQ3" s="15"/>
      <c r="MUR3" s="15"/>
      <c r="MUS3" s="15"/>
      <c r="MUT3" s="15"/>
      <c r="MUU3" s="15"/>
      <c r="MUV3" s="15"/>
      <c r="MUW3" s="15"/>
      <c r="MUX3" s="15"/>
      <c r="MUY3" s="15"/>
      <c r="MUZ3" s="15"/>
      <c r="MVA3" s="15"/>
      <c r="MVB3" s="15"/>
      <c r="MVC3" s="15"/>
      <c r="MVD3" s="15"/>
      <c r="MVE3" s="15"/>
      <c r="MVF3" s="15"/>
      <c r="MVG3" s="15"/>
      <c r="MVH3" s="15"/>
      <c r="MVI3" s="15"/>
      <c r="MVJ3" s="15"/>
      <c r="MVK3" s="15"/>
      <c r="MVL3" s="15"/>
      <c r="MVM3" s="15"/>
      <c r="MVN3" s="15"/>
      <c r="MVO3" s="15"/>
      <c r="MVP3" s="15"/>
      <c r="MVQ3" s="15"/>
      <c r="MVR3" s="15"/>
      <c r="MVS3" s="15"/>
      <c r="MVT3" s="15"/>
      <c r="MVU3" s="15"/>
      <c r="MVV3" s="15"/>
      <c r="MVW3" s="15"/>
      <c r="MVX3" s="15"/>
      <c r="MVY3" s="15"/>
      <c r="MVZ3" s="15"/>
      <c r="MWA3" s="15"/>
      <c r="MWB3" s="15"/>
      <c r="MWC3" s="15"/>
      <c r="MWD3" s="15"/>
      <c r="MWE3" s="15"/>
      <c r="MWF3" s="15"/>
      <c r="MWG3" s="15"/>
      <c r="MWH3" s="15"/>
      <c r="MWI3" s="15"/>
      <c r="MWJ3" s="15"/>
      <c r="MWK3" s="15"/>
      <c r="MWL3" s="15"/>
      <c r="MWM3" s="15"/>
      <c r="MWN3" s="15"/>
      <c r="MWO3" s="15"/>
      <c r="MWP3" s="15"/>
      <c r="MWQ3" s="15"/>
      <c r="MWR3" s="15"/>
      <c r="MWS3" s="15"/>
      <c r="MWT3" s="15"/>
      <c r="MWU3" s="15"/>
      <c r="MWV3" s="15"/>
      <c r="MWW3" s="15"/>
      <c r="MWX3" s="15"/>
      <c r="MWY3" s="15"/>
      <c r="MWZ3" s="15"/>
      <c r="MXA3" s="15"/>
      <c r="MXB3" s="15"/>
      <c r="MXC3" s="15"/>
      <c r="MXD3" s="15"/>
      <c r="MXE3" s="15"/>
      <c r="MXF3" s="15"/>
      <c r="MXG3" s="15"/>
      <c r="MXH3" s="15"/>
      <c r="MXI3" s="15"/>
      <c r="MXJ3" s="15"/>
      <c r="MXK3" s="15"/>
      <c r="MXL3" s="15"/>
      <c r="MXM3" s="15"/>
      <c r="MXN3" s="15"/>
      <c r="MXO3" s="15"/>
      <c r="MXP3" s="15"/>
      <c r="MXQ3" s="15"/>
      <c r="MXR3" s="15"/>
      <c r="MXS3" s="15"/>
      <c r="MXT3" s="15"/>
      <c r="MXU3" s="15"/>
      <c r="MXV3" s="15"/>
      <c r="MXW3" s="15"/>
      <c r="MXX3" s="15"/>
      <c r="MXY3" s="15"/>
      <c r="MXZ3" s="15"/>
      <c r="MYA3" s="15"/>
      <c r="MYB3" s="15"/>
      <c r="MYC3" s="15"/>
      <c r="MYD3" s="15"/>
      <c r="MYE3" s="15"/>
      <c r="MYF3" s="15"/>
      <c r="MYG3" s="15"/>
      <c r="MYH3" s="15"/>
      <c r="MYI3" s="15"/>
      <c r="MYJ3" s="15"/>
      <c r="MYK3" s="15"/>
      <c r="MYL3" s="15"/>
      <c r="MYM3" s="15"/>
      <c r="MYN3" s="15"/>
      <c r="MYO3" s="15"/>
      <c r="MYP3" s="15"/>
      <c r="MYQ3" s="15"/>
      <c r="MYR3" s="15"/>
      <c r="MYS3" s="15"/>
      <c r="MYT3" s="15"/>
      <c r="MYU3" s="15"/>
      <c r="MYV3" s="15"/>
      <c r="MYW3" s="15"/>
      <c r="MYX3" s="15"/>
      <c r="MYY3" s="15"/>
      <c r="MYZ3" s="15"/>
      <c r="MZA3" s="15"/>
      <c r="MZB3" s="15"/>
      <c r="MZC3" s="15"/>
      <c r="MZD3" s="15"/>
      <c r="MZE3" s="15"/>
      <c r="MZF3" s="15"/>
      <c r="MZG3" s="15"/>
      <c r="MZH3" s="15"/>
      <c r="MZI3" s="15"/>
      <c r="MZJ3" s="15"/>
      <c r="MZK3" s="15"/>
      <c r="MZL3" s="15"/>
      <c r="MZM3" s="15"/>
      <c r="MZN3" s="15"/>
      <c r="MZO3" s="15"/>
      <c r="MZP3" s="15"/>
      <c r="MZQ3" s="15"/>
      <c r="MZR3" s="15"/>
      <c r="MZS3" s="15"/>
      <c r="MZT3" s="15"/>
      <c r="MZU3" s="15"/>
      <c r="MZV3" s="15"/>
      <c r="MZW3" s="15"/>
      <c r="MZX3" s="15"/>
      <c r="MZY3" s="15"/>
      <c r="MZZ3" s="15"/>
      <c r="NAA3" s="15"/>
      <c r="NAB3" s="15"/>
      <c r="NAC3" s="15"/>
      <c r="NAD3" s="15"/>
      <c r="NAE3" s="15"/>
      <c r="NAF3" s="15"/>
      <c r="NAG3" s="15"/>
      <c r="NAH3" s="15"/>
      <c r="NAI3" s="15"/>
      <c r="NAJ3" s="15"/>
      <c r="NAK3" s="15"/>
      <c r="NAL3" s="15"/>
      <c r="NAM3" s="15"/>
      <c r="NAN3" s="15"/>
      <c r="NAO3" s="15"/>
      <c r="NAP3" s="15"/>
      <c r="NAQ3" s="15"/>
      <c r="NAR3" s="15"/>
      <c r="NAS3" s="15"/>
      <c r="NAT3" s="15"/>
      <c r="NAU3" s="15"/>
      <c r="NAV3" s="15"/>
      <c r="NAW3" s="15"/>
      <c r="NAX3" s="15"/>
      <c r="NAY3" s="15"/>
      <c r="NAZ3" s="15"/>
      <c r="NBA3" s="15"/>
      <c r="NBB3" s="15"/>
      <c r="NBC3" s="15"/>
      <c r="NBD3" s="15"/>
      <c r="NBE3" s="15"/>
      <c r="NBF3" s="15"/>
      <c r="NBG3" s="15"/>
      <c r="NBH3" s="15"/>
      <c r="NBI3" s="15"/>
      <c r="NBJ3" s="15"/>
      <c r="NBK3" s="15"/>
      <c r="NBL3" s="15"/>
      <c r="NBM3" s="15"/>
      <c r="NBN3" s="15"/>
      <c r="NBO3" s="15"/>
      <c r="NBP3" s="15"/>
      <c r="NBQ3" s="15"/>
      <c r="NBR3" s="15"/>
      <c r="NBS3" s="15"/>
      <c r="NBT3" s="15"/>
      <c r="NBU3" s="15"/>
      <c r="NBV3" s="15"/>
      <c r="NBW3" s="15"/>
      <c r="NBX3" s="15"/>
      <c r="NBY3" s="15"/>
      <c r="NBZ3" s="15"/>
      <c r="NCA3" s="15"/>
      <c r="NCB3" s="15"/>
      <c r="NCC3" s="15"/>
      <c r="NCD3" s="15"/>
      <c r="NCE3" s="15"/>
      <c r="NCF3" s="15"/>
      <c r="NCG3" s="15"/>
      <c r="NCH3" s="15"/>
      <c r="NCI3" s="15"/>
      <c r="NCJ3" s="15"/>
      <c r="NCK3" s="15"/>
      <c r="NCL3" s="15"/>
      <c r="NCM3" s="15"/>
      <c r="NCN3" s="15"/>
      <c r="NCO3" s="15"/>
      <c r="NCP3" s="15"/>
      <c r="NCQ3" s="15"/>
      <c r="NCR3" s="15"/>
      <c r="NCS3" s="15"/>
      <c r="NCT3" s="15"/>
      <c r="NCU3" s="15"/>
      <c r="NCV3" s="15"/>
      <c r="NCW3" s="15"/>
      <c r="NCX3" s="15"/>
      <c r="NCY3" s="15"/>
      <c r="NCZ3" s="15"/>
      <c r="NDA3" s="15"/>
      <c r="NDB3" s="15"/>
      <c r="NDC3" s="15"/>
      <c r="NDD3" s="15"/>
      <c r="NDE3" s="15"/>
      <c r="NDF3" s="15"/>
      <c r="NDG3" s="15"/>
      <c r="NDH3" s="15"/>
      <c r="NDI3" s="15"/>
      <c r="NDJ3" s="15"/>
      <c r="NDK3" s="15"/>
      <c r="NDL3" s="15"/>
      <c r="NDM3" s="15"/>
      <c r="NDN3" s="15"/>
      <c r="NDO3" s="15"/>
      <c r="NDP3" s="15"/>
      <c r="NDQ3" s="15"/>
      <c r="NDR3" s="15"/>
      <c r="NDS3" s="15"/>
      <c r="NDT3" s="15"/>
      <c r="NDU3" s="15"/>
      <c r="NDV3" s="15"/>
      <c r="NDW3" s="15"/>
      <c r="NDX3" s="15"/>
      <c r="NDY3" s="15"/>
      <c r="NDZ3" s="15"/>
      <c r="NEA3" s="15"/>
      <c r="NEB3" s="15"/>
      <c r="NEC3" s="15"/>
      <c r="NED3" s="15"/>
      <c r="NEE3" s="15"/>
      <c r="NEF3" s="15"/>
      <c r="NEG3" s="15"/>
      <c r="NEH3" s="15"/>
      <c r="NEI3" s="15"/>
      <c r="NEJ3" s="15"/>
      <c r="NEK3" s="15"/>
      <c r="NEL3" s="15"/>
      <c r="NEM3" s="15"/>
      <c r="NEN3" s="15"/>
      <c r="NEO3" s="15"/>
      <c r="NEP3" s="15"/>
      <c r="NEQ3" s="15"/>
      <c r="NER3" s="15"/>
      <c r="NES3" s="15"/>
      <c r="NET3" s="15"/>
      <c r="NEU3" s="15"/>
      <c r="NEV3" s="15"/>
      <c r="NEW3" s="15"/>
      <c r="NEX3" s="15"/>
      <c r="NEY3" s="15"/>
      <c r="NEZ3" s="15"/>
      <c r="NFA3" s="15"/>
      <c r="NFB3" s="15"/>
      <c r="NFC3" s="15"/>
      <c r="NFD3" s="15"/>
      <c r="NFE3" s="15"/>
      <c r="NFF3" s="15"/>
      <c r="NFG3" s="15"/>
      <c r="NFH3" s="15"/>
      <c r="NFI3" s="15"/>
      <c r="NFJ3" s="15"/>
      <c r="NFK3" s="15"/>
      <c r="NFL3" s="15"/>
      <c r="NFM3" s="15"/>
      <c r="NFN3" s="15"/>
      <c r="NFO3" s="15"/>
      <c r="NFP3" s="15"/>
      <c r="NFQ3" s="15"/>
      <c r="NFR3" s="15"/>
      <c r="NFS3" s="15"/>
      <c r="NFT3" s="15"/>
      <c r="NFU3" s="15"/>
      <c r="NFV3" s="15"/>
      <c r="NFW3" s="15"/>
      <c r="NFX3" s="15"/>
      <c r="NFY3" s="15"/>
      <c r="NFZ3" s="15"/>
      <c r="NGA3" s="15"/>
      <c r="NGB3" s="15"/>
      <c r="NGC3" s="15"/>
      <c r="NGD3" s="15"/>
      <c r="NGE3" s="15"/>
      <c r="NGF3" s="15"/>
      <c r="NGG3" s="15"/>
      <c r="NGH3" s="15"/>
      <c r="NGI3" s="15"/>
      <c r="NGJ3" s="15"/>
      <c r="NGK3" s="15"/>
      <c r="NGL3" s="15"/>
      <c r="NGM3" s="15"/>
      <c r="NGN3" s="15"/>
      <c r="NGO3" s="15"/>
      <c r="NGP3" s="15"/>
      <c r="NGQ3" s="15"/>
      <c r="NGR3" s="15"/>
      <c r="NGS3" s="15"/>
      <c r="NGT3" s="15"/>
      <c r="NGU3" s="15"/>
      <c r="NGV3" s="15"/>
      <c r="NGW3" s="15"/>
      <c r="NGX3" s="15"/>
      <c r="NGY3" s="15"/>
      <c r="NGZ3" s="15"/>
      <c r="NHA3" s="15"/>
      <c r="NHB3" s="15"/>
      <c r="NHC3" s="15"/>
      <c r="NHD3" s="15"/>
      <c r="NHE3" s="15"/>
      <c r="NHF3" s="15"/>
      <c r="NHG3" s="15"/>
      <c r="NHH3" s="15"/>
      <c r="NHI3" s="15"/>
      <c r="NHJ3" s="15"/>
      <c r="NHK3" s="15"/>
      <c r="NHL3" s="15"/>
      <c r="NHM3" s="15"/>
      <c r="NHN3" s="15"/>
      <c r="NHO3" s="15"/>
      <c r="NHP3" s="15"/>
      <c r="NHQ3" s="15"/>
      <c r="NHR3" s="15"/>
      <c r="NHS3" s="15"/>
      <c r="NHT3" s="15"/>
      <c r="NHU3" s="15"/>
      <c r="NHV3" s="15"/>
      <c r="NHW3" s="15"/>
      <c r="NHX3" s="15"/>
      <c r="NHY3" s="15"/>
      <c r="NHZ3" s="15"/>
      <c r="NIA3" s="15"/>
      <c r="NIB3" s="15"/>
      <c r="NIC3" s="15"/>
      <c r="NID3" s="15"/>
      <c r="NIE3" s="15"/>
      <c r="NIF3" s="15"/>
      <c r="NIG3" s="15"/>
      <c r="NIH3" s="15"/>
      <c r="NII3" s="15"/>
      <c r="NIJ3" s="15"/>
      <c r="NIK3" s="15"/>
      <c r="NIL3" s="15"/>
      <c r="NIM3" s="15"/>
      <c r="NIN3" s="15"/>
      <c r="NIO3" s="15"/>
      <c r="NIP3" s="15"/>
      <c r="NIQ3" s="15"/>
      <c r="NIR3" s="15"/>
      <c r="NIS3" s="15"/>
      <c r="NIT3" s="15"/>
      <c r="NIU3" s="15"/>
      <c r="NIV3" s="15"/>
      <c r="NIW3" s="15"/>
      <c r="NIX3" s="15"/>
      <c r="NIY3" s="15"/>
      <c r="NIZ3" s="15"/>
      <c r="NJA3" s="15"/>
      <c r="NJB3" s="15"/>
      <c r="NJC3" s="15"/>
      <c r="NJD3" s="15"/>
      <c r="NJE3" s="15"/>
      <c r="NJF3" s="15"/>
      <c r="NJG3" s="15"/>
      <c r="NJH3" s="15"/>
      <c r="NJI3" s="15"/>
      <c r="NJJ3" s="15"/>
      <c r="NJK3" s="15"/>
      <c r="NJL3" s="15"/>
      <c r="NJM3" s="15"/>
      <c r="NJN3" s="15"/>
      <c r="NJO3" s="15"/>
      <c r="NJP3" s="15"/>
      <c r="NJQ3" s="15"/>
      <c r="NJR3" s="15"/>
      <c r="NJS3" s="15"/>
      <c r="NJT3" s="15"/>
      <c r="NJU3" s="15"/>
      <c r="NJV3" s="15"/>
      <c r="NJW3" s="15"/>
      <c r="NJX3" s="15"/>
      <c r="NJY3" s="15"/>
      <c r="NJZ3" s="15"/>
      <c r="NKA3" s="15"/>
      <c r="NKB3" s="15"/>
      <c r="NKC3" s="15"/>
      <c r="NKD3" s="15"/>
      <c r="NKE3" s="15"/>
      <c r="NKF3" s="15"/>
      <c r="NKG3" s="15"/>
      <c r="NKH3" s="15"/>
      <c r="NKI3" s="15"/>
      <c r="NKJ3" s="15"/>
      <c r="NKK3" s="15"/>
      <c r="NKL3" s="15"/>
      <c r="NKM3" s="15"/>
      <c r="NKN3" s="15"/>
      <c r="NKO3" s="15"/>
      <c r="NKP3" s="15"/>
      <c r="NKQ3" s="15"/>
      <c r="NKR3" s="15"/>
      <c r="NKS3" s="15"/>
      <c r="NKT3" s="15"/>
      <c r="NKU3" s="15"/>
      <c r="NKV3" s="15"/>
      <c r="NKW3" s="15"/>
      <c r="NKX3" s="15"/>
      <c r="NKY3" s="15"/>
      <c r="NKZ3" s="15"/>
      <c r="NLA3" s="15"/>
      <c r="NLB3" s="15"/>
      <c r="NLC3" s="15"/>
      <c r="NLD3" s="15"/>
      <c r="NLE3" s="15"/>
      <c r="NLF3" s="15"/>
      <c r="NLG3" s="15"/>
      <c r="NLH3" s="15"/>
      <c r="NLI3" s="15"/>
      <c r="NLJ3" s="15"/>
      <c r="NLK3" s="15"/>
      <c r="NLL3" s="15"/>
      <c r="NLM3" s="15"/>
      <c r="NLN3" s="15"/>
      <c r="NLO3" s="15"/>
      <c r="NLP3" s="15"/>
      <c r="NLQ3" s="15"/>
      <c r="NLR3" s="15"/>
      <c r="NLS3" s="15"/>
      <c r="NLT3" s="15"/>
      <c r="NLU3" s="15"/>
      <c r="NLV3" s="15"/>
      <c r="NLW3" s="15"/>
      <c r="NLX3" s="15"/>
      <c r="NLY3" s="15"/>
      <c r="NLZ3" s="15"/>
      <c r="NMA3" s="15"/>
      <c r="NMB3" s="15"/>
      <c r="NMC3" s="15"/>
      <c r="NMD3" s="15"/>
      <c r="NME3" s="15"/>
      <c r="NMF3" s="15"/>
      <c r="NMG3" s="15"/>
      <c r="NMH3" s="15"/>
      <c r="NMI3" s="15"/>
      <c r="NMJ3" s="15"/>
      <c r="NMK3" s="15"/>
      <c r="NML3" s="15"/>
      <c r="NMM3" s="15"/>
      <c r="NMN3" s="15"/>
      <c r="NMO3" s="15"/>
      <c r="NMP3" s="15"/>
      <c r="NMQ3" s="15"/>
      <c r="NMR3" s="15"/>
      <c r="NMS3" s="15"/>
      <c r="NMT3" s="15"/>
      <c r="NMU3" s="15"/>
      <c r="NMV3" s="15"/>
      <c r="NMW3" s="15"/>
      <c r="NMX3" s="15"/>
      <c r="NMY3" s="15"/>
      <c r="NMZ3" s="15"/>
      <c r="NNA3" s="15"/>
      <c r="NNB3" s="15"/>
      <c r="NNC3" s="15"/>
      <c r="NND3" s="15"/>
      <c r="NNE3" s="15"/>
      <c r="NNF3" s="15"/>
      <c r="NNG3" s="15"/>
      <c r="NNH3" s="15"/>
      <c r="NNI3" s="15"/>
      <c r="NNJ3" s="15"/>
      <c r="NNK3" s="15"/>
      <c r="NNL3" s="15"/>
      <c r="NNM3" s="15"/>
      <c r="NNN3" s="15"/>
      <c r="NNO3" s="15"/>
      <c r="NNP3" s="15"/>
      <c r="NNQ3" s="15"/>
      <c r="NNR3" s="15"/>
      <c r="NNS3" s="15"/>
      <c r="NNT3" s="15"/>
      <c r="NNU3" s="15"/>
      <c r="NNV3" s="15"/>
      <c r="NNW3" s="15"/>
      <c r="NNX3" s="15"/>
      <c r="NNY3" s="15"/>
      <c r="NNZ3" s="15"/>
      <c r="NOA3" s="15"/>
      <c r="NOB3" s="15"/>
      <c r="NOC3" s="15"/>
      <c r="NOD3" s="15"/>
      <c r="NOE3" s="15"/>
      <c r="NOF3" s="15"/>
      <c r="NOG3" s="15"/>
      <c r="NOH3" s="15"/>
      <c r="NOI3" s="15"/>
      <c r="NOJ3" s="15"/>
      <c r="NOK3" s="15"/>
      <c r="NOL3" s="15"/>
      <c r="NOM3" s="15"/>
      <c r="NON3" s="15"/>
      <c r="NOO3" s="15"/>
      <c r="NOP3" s="15"/>
      <c r="NOQ3" s="15"/>
      <c r="NOR3" s="15"/>
      <c r="NOS3" s="15"/>
      <c r="NOT3" s="15"/>
      <c r="NOU3" s="15"/>
      <c r="NOV3" s="15"/>
      <c r="NOW3" s="15"/>
      <c r="NOX3" s="15"/>
      <c r="NOY3" s="15"/>
      <c r="NOZ3" s="15"/>
      <c r="NPA3" s="15"/>
      <c r="NPB3" s="15"/>
      <c r="NPC3" s="15"/>
      <c r="NPD3" s="15"/>
      <c r="NPE3" s="15"/>
      <c r="NPF3" s="15"/>
      <c r="NPG3" s="15"/>
      <c r="NPH3" s="15"/>
      <c r="NPI3" s="15"/>
      <c r="NPJ3" s="15"/>
      <c r="NPK3" s="15"/>
      <c r="NPL3" s="15"/>
      <c r="NPM3" s="15"/>
      <c r="NPN3" s="15"/>
      <c r="NPO3" s="15"/>
      <c r="NPP3" s="15"/>
      <c r="NPQ3" s="15"/>
      <c r="NPR3" s="15"/>
      <c r="NPS3" s="15"/>
      <c r="NPT3" s="15"/>
      <c r="NPU3" s="15"/>
      <c r="NPV3" s="15"/>
      <c r="NPW3" s="15"/>
      <c r="NPX3" s="15"/>
      <c r="NPY3" s="15"/>
      <c r="NPZ3" s="15"/>
      <c r="NQA3" s="15"/>
      <c r="NQB3" s="15"/>
      <c r="NQC3" s="15"/>
      <c r="NQD3" s="15"/>
      <c r="NQE3" s="15"/>
      <c r="NQF3" s="15"/>
      <c r="NQG3" s="15"/>
      <c r="NQH3" s="15"/>
      <c r="NQI3" s="15"/>
      <c r="NQJ3" s="15"/>
      <c r="NQK3" s="15"/>
      <c r="NQL3" s="15"/>
      <c r="NQM3" s="15"/>
      <c r="NQN3" s="15"/>
      <c r="NQO3" s="15"/>
      <c r="NQP3" s="15"/>
      <c r="NQQ3" s="15"/>
      <c r="NQR3" s="15"/>
      <c r="NQS3" s="15"/>
      <c r="NQT3" s="15"/>
      <c r="NQU3" s="15"/>
      <c r="NQV3" s="15"/>
      <c r="NQW3" s="15"/>
      <c r="NQX3" s="15"/>
      <c r="NQY3" s="15"/>
      <c r="NQZ3" s="15"/>
      <c r="NRA3" s="15"/>
      <c r="NRB3" s="15"/>
      <c r="NRC3" s="15"/>
      <c r="NRD3" s="15"/>
      <c r="NRE3" s="15"/>
      <c r="NRF3" s="15"/>
      <c r="NRG3" s="15"/>
      <c r="NRH3" s="15"/>
      <c r="NRI3" s="15"/>
      <c r="NRJ3" s="15"/>
      <c r="NRK3" s="15"/>
      <c r="NRL3" s="15"/>
      <c r="NRM3" s="15"/>
      <c r="NRN3" s="15"/>
      <c r="NRO3" s="15"/>
      <c r="NRP3" s="15"/>
      <c r="NRQ3" s="15"/>
      <c r="NRR3" s="15"/>
      <c r="NRS3" s="15"/>
      <c r="NRT3" s="15"/>
      <c r="NRU3" s="15"/>
      <c r="NRV3" s="15"/>
      <c r="NRW3" s="15"/>
      <c r="NRX3" s="15"/>
      <c r="NRY3" s="15"/>
      <c r="NRZ3" s="15"/>
      <c r="NSA3" s="15"/>
      <c r="NSB3" s="15"/>
      <c r="NSC3" s="15"/>
      <c r="NSD3" s="15"/>
      <c r="NSE3" s="15"/>
      <c r="NSF3" s="15"/>
      <c r="NSG3" s="15"/>
      <c r="NSH3" s="15"/>
      <c r="NSI3" s="15"/>
      <c r="NSJ3" s="15"/>
      <c r="NSK3" s="15"/>
      <c r="NSL3" s="15"/>
      <c r="NSM3" s="15"/>
      <c r="NSN3" s="15"/>
      <c r="NSO3" s="15"/>
      <c r="NSP3" s="15"/>
      <c r="NSQ3" s="15"/>
      <c r="NSR3" s="15"/>
      <c r="NSS3" s="15"/>
      <c r="NST3" s="15"/>
      <c r="NSU3" s="15"/>
      <c r="NSV3" s="15"/>
      <c r="NSW3" s="15"/>
      <c r="NSX3" s="15"/>
      <c r="NSY3" s="15"/>
      <c r="NSZ3" s="15"/>
      <c r="NTA3" s="15"/>
      <c r="NTB3" s="15"/>
      <c r="NTC3" s="15"/>
      <c r="NTD3" s="15"/>
      <c r="NTE3" s="15"/>
      <c r="NTF3" s="15"/>
      <c r="NTG3" s="15"/>
      <c r="NTH3" s="15"/>
      <c r="NTI3" s="15"/>
      <c r="NTJ3" s="15"/>
      <c r="NTK3" s="15"/>
      <c r="NTL3" s="15"/>
      <c r="NTM3" s="15"/>
      <c r="NTN3" s="15"/>
      <c r="NTO3" s="15"/>
      <c r="NTP3" s="15"/>
      <c r="NTQ3" s="15"/>
      <c r="NTR3" s="15"/>
      <c r="NTS3" s="15"/>
      <c r="NTT3" s="15"/>
      <c r="NTU3" s="15"/>
      <c r="NTV3" s="15"/>
      <c r="NTW3" s="15"/>
      <c r="NTX3" s="15"/>
      <c r="NTY3" s="15"/>
      <c r="NTZ3" s="15"/>
      <c r="NUA3" s="15"/>
      <c r="NUB3" s="15"/>
      <c r="NUC3" s="15"/>
      <c r="NUD3" s="15"/>
      <c r="NUE3" s="15"/>
      <c r="NUF3" s="15"/>
      <c r="NUG3" s="15"/>
      <c r="NUH3" s="15"/>
      <c r="NUI3" s="15"/>
      <c r="NUJ3" s="15"/>
      <c r="NUK3" s="15"/>
      <c r="NUL3" s="15"/>
      <c r="NUM3" s="15"/>
      <c r="NUN3" s="15"/>
      <c r="NUO3" s="15"/>
      <c r="NUP3" s="15"/>
      <c r="NUQ3" s="15"/>
      <c r="NUR3" s="15"/>
      <c r="NUS3" s="15"/>
      <c r="NUT3" s="15"/>
      <c r="NUU3" s="15"/>
      <c r="NUV3" s="15"/>
      <c r="NUW3" s="15"/>
      <c r="NUX3" s="15"/>
      <c r="NUY3" s="15"/>
      <c r="NUZ3" s="15"/>
      <c r="NVA3" s="15"/>
      <c r="NVB3" s="15"/>
      <c r="NVC3" s="15"/>
      <c r="NVD3" s="15"/>
      <c r="NVE3" s="15"/>
      <c r="NVF3" s="15"/>
      <c r="NVG3" s="15"/>
      <c r="NVH3" s="15"/>
      <c r="NVI3" s="15"/>
      <c r="NVJ3" s="15"/>
      <c r="NVK3" s="15"/>
      <c r="NVL3" s="15"/>
      <c r="NVM3" s="15"/>
      <c r="NVN3" s="15"/>
      <c r="NVO3" s="15"/>
      <c r="NVP3" s="15"/>
      <c r="NVQ3" s="15"/>
      <c r="NVR3" s="15"/>
      <c r="NVS3" s="15"/>
      <c r="NVT3" s="15"/>
      <c r="NVU3" s="15"/>
      <c r="NVV3" s="15"/>
      <c r="NVW3" s="15"/>
      <c r="NVX3" s="15"/>
      <c r="NVY3" s="15"/>
      <c r="NVZ3" s="15"/>
      <c r="NWA3" s="15"/>
      <c r="NWB3" s="15"/>
      <c r="NWC3" s="15"/>
      <c r="NWD3" s="15"/>
      <c r="NWE3" s="15"/>
      <c r="NWF3" s="15"/>
      <c r="NWG3" s="15"/>
      <c r="NWH3" s="15"/>
      <c r="NWI3" s="15"/>
      <c r="NWJ3" s="15"/>
      <c r="NWK3" s="15"/>
      <c r="NWL3" s="15"/>
      <c r="NWM3" s="15"/>
      <c r="NWN3" s="15"/>
      <c r="NWO3" s="15"/>
      <c r="NWP3" s="15"/>
      <c r="NWQ3" s="15"/>
      <c r="NWR3" s="15"/>
      <c r="NWS3" s="15"/>
      <c r="NWT3" s="15"/>
      <c r="NWU3" s="15"/>
      <c r="NWV3" s="15"/>
      <c r="NWW3" s="15"/>
      <c r="NWX3" s="15"/>
      <c r="NWY3" s="15"/>
      <c r="NWZ3" s="15"/>
      <c r="NXA3" s="15"/>
      <c r="NXB3" s="15"/>
      <c r="NXC3" s="15"/>
      <c r="NXD3" s="15"/>
      <c r="NXE3" s="15"/>
      <c r="NXF3" s="15"/>
      <c r="NXG3" s="15"/>
      <c r="NXH3" s="15"/>
      <c r="NXI3" s="15"/>
      <c r="NXJ3" s="15"/>
      <c r="NXK3" s="15"/>
      <c r="NXL3" s="15"/>
      <c r="NXM3" s="15"/>
      <c r="NXN3" s="15"/>
      <c r="NXO3" s="15"/>
      <c r="NXP3" s="15"/>
      <c r="NXQ3" s="15"/>
      <c r="NXR3" s="15"/>
      <c r="NXS3" s="15"/>
      <c r="NXT3" s="15"/>
      <c r="NXU3" s="15"/>
      <c r="NXV3" s="15"/>
      <c r="NXW3" s="15"/>
      <c r="NXX3" s="15"/>
      <c r="NXY3" s="15"/>
      <c r="NXZ3" s="15"/>
      <c r="NYA3" s="15"/>
      <c r="NYB3" s="15"/>
      <c r="NYC3" s="15"/>
      <c r="NYD3" s="15"/>
      <c r="NYE3" s="15"/>
      <c r="NYF3" s="15"/>
      <c r="NYG3" s="15"/>
      <c r="NYH3" s="15"/>
      <c r="NYI3" s="15"/>
      <c r="NYJ3" s="15"/>
      <c r="NYK3" s="15"/>
      <c r="NYL3" s="15"/>
      <c r="NYM3" s="15"/>
      <c r="NYN3" s="15"/>
      <c r="NYO3" s="15"/>
      <c r="NYP3" s="15"/>
      <c r="NYQ3" s="15"/>
      <c r="NYR3" s="15"/>
      <c r="NYS3" s="15"/>
      <c r="NYT3" s="15"/>
      <c r="NYU3" s="15"/>
      <c r="NYV3" s="15"/>
      <c r="NYW3" s="15"/>
      <c r="NYX3" s="15"/>
      <c r="NYY3" s="15"/>
      <c r="NYZ3" s="15"/>
      <c r="NZA3" s="15"/>
      <c r="NZB3" s="15"/>
      <c r="NZC3" s="15"/>
      <c r="NZD3" s="15"/>
      <c r="NZE3" s="15"/>
      <c r="NZF3" s="15"/>
      <c r="NZG3" s="15"/>
      <c r="NZH3" s="15"/>
      <c r="NZI3" s="15"/>
      <c r="NZJ3" s="15"/>
      <c r="NZK3" s="15"/>
      <c r="NZL3" s="15"/>
      <c r="NZM3" s="15"/>
      <c r="NZN3" s="15"/>
      <c r="NZO3" s="15"/>
      <c r="NZP3" s="15"/>
      <c r="NZQ3" s="15"/>
      <c r="NZR3" s="15"/>
      <c r="NZS3" s="15"/>
      <c r="NZT3" s="15"/>
      <c r="NZU3" s="15"/>
      <c r="NZV3" s="15"/>
      <c r="NZW3" s="15"/>
      <c r="NZX3" s="15"/>
      <c r="NZY3" s="15"/>
      <c r="NZZ3" s="15"/>
      <c r="OAA3" s="15"/>
      <c r="OAB3" s="15"/>
      <c r="OAC3" s="15"/>
      <c r="OAD3" s="15"/>
      <c r="OAE3" s="15"/>
      <c r="OAF3" s="15"/>
      <c r="OAG3" s="15"/>
      <c r="OAH3" s="15"/>
      <c r="OAI3" s="15"/>
      <c r="OAJ3" s="15"/>
      <c r="OAK3" s="15"/>
      <c r="OAL3" s="15"/>
      <c r="OAM3" s="15"/>
      <c r="OAN3" s="15"/>
      <c r="OAO3" s="15"/>
      <c r="OAP3" s="15"/>
      <c r="OAQ3" s="15"/>
      <c r="OAR3" s="15"/>
      <c r="OAS3" s="15"/>
      <c r="OAT3" s="15"/>
      <c r="OAU3" s="15"/>
      <c r="OAV3" s="15"/>
      <c r="OAW3" s="15"/>
      <c r="OAX3" s="15"/>
      <c r="OAY3" s="15"/>
      <c r="OAZ3" s="15"/>
      <c r="OBA3" s="15"/>
      <c r="OBB3" s="15"/>
      <c r="OBC3" s="15"/>
      <c r="OBD3" s="15"/>
      <c r="OBE3" s="15"/>
      <c r="OBF3" s="15"/>
      <c r="OBG3" s="15"/>
      <c r="OBH3" s="15"/>
      <c r="OBI3" s="15"/>
      <c r="OBJ3" s="15"/>
      <c r="OBK3" s="15"/>
      <c r="OBL3" s="15"/>
      <c r="OBM3" s="15"/>
      <c r="OBN3" s="15"/>
      <c r="OBO3" s="15"/>
      <c r="OBP3" s="15"/>
      <c r="OBQ3" s="15"/>
      <c r="OBR3" s="15"/>
      <c r="OBS3" s="15"/>
      <c r="OBT3" s="15"/>
      <c r="OBU3" s="15"/>
      <c r="OBV3" s="15"/>
      <c r="OBW3" s="15"/>
      <c r="OBX3" s="15"/>
      <c r="OBY3" s="15"/>
      <c r="OBZ3" s="15"/>
      <c r="OCA3" s="15"/>
      <c r="OCB3" s="15"/>
      <c r="OCC3" s="15"/>
      <c r="OCD3" s="15"/>
      <c r="OCE3" s="15"/>
      <c r="OCF3" s="15"/>
      <c r="OCG3" s="15"/>
      <c r="OCH3" s="15"/>
      <c r="OCI3" s="15"/>
      <c r="OCJ3" s="15"/>
      <c r="OCK3" s="15"/>
      <c r="OCL3" s="15"/>
      <c r="OCM3" s="15"/>
      <c r="OCN3" s="15"/>
      <c r="OCO3" s="15"/>
      <c r="OCP3" s="15"/>
      <c r="OCQ3" s="15"/>
      <c r="OCR3" s="15"/>
      <c r="OCS3" s="15"/>
      <c r="OCT3" s="15"/>
      <c r="OCU3" s="15"/>
      <c r="OCV3" s="15"/>
      <c r="OCW3" s="15"/>
      <c r="OCX3" s="15"/>
      <c r="OCY3" s="15"/>
      <c r="OCZ3" s="15"/>
      <c r="ODA3" s="15"/>
      <c r="ODB3" s="15"/>
      <c r="ODC3" s="15"/>
      <c r="ODD3" s="15"/>
      <c r="ODE3" s="15"/>
      <c r="ODF3" s="15"/>
      <c r="ODG3" s="15"/>
      <c r="ODH3" s="15"/>
      <c r="ODI3" s="15"/>
      <c r="ODJ3" s="15"/>
      <c r="ODK3" s="15"/>
      <c r="ODL3" s="15"/>
      <c r="ODM3" s="15"/>
      <c r="ODN3" s="15"/>
      <c r="ODO3" s="15"/>
      <c r="ODP3" s="15"/>
      <c r="ODQ3" s="15"/>
      <c r="ODR3" s="15"/>
      <c r="ODS3" s="15"/>
      <c r="ODT3" s="15"/>
      <c r="ODU3" s="15"/>
      <c r="ODV3" s="15"/>
      <c r="ODW3" s="15"/>
      <c r="ODX3" s="15"/>
      <c r="ODY3" s="15"/>
      <c r="ODZ3" s="15"/>
      <c r="OEA3" s="15"/>
      <c r="OEB3" s="15"/>
      <c r="OEC3" s="15"/>
      <c r="OED3" s="15"/>
      <c r="OEE3" s="15"/>
      <c r="OEF3" s="15"/>
      <c r="OEG3" s="15"/>
      <c r="OEH3" s="15"/>
      <c r="OEI3" s="15"/>
      <c r="OEJ3" s="15"/>
      <c r="OEK3" s="15"/>
      <c r="OEL3" s="15"/>
      <c r="OEM3" s="15"/>
      <c r="OEN3" s="15"/>
      <c r="OEO3" s="15"/>
      <c r="OEP3" s="15"/>
      <c r="OEQ3" s="15"/>
      <c r="OER3" s="15"/>
      <c r="OES3" s="15"/>
      <c r="OET3" s="15"/>
      <c r="OEU3" s="15"/>
      <c r="OEV3" s="15"/>
      <c r="OEW3" s="15"/>
      <c r="OEX3" s="15"/>
      <c r="OEY3" s="15"/>
      <c r="OEZ3" s="15"/>
      <c r="OFA3" s="15"/>
      <c r="OFB3" s="15"/>
      <c r="OFC3" s="15"/>
      <c r="OFD3" s="15"/>
      <c r="OFE3" s="15"/>
      <c r="OFF3" s="15"/>
      <c r="OFG3" s="15"/>
      <c r="OFH3" s="15"/>
      <c r="OFI3" s="15"/>
      <c r="OFJ3" s="15"/>
      <c r="OFK3" s="15"/>
      <c r="OFL3" s="15"/>
      <c r="OFM3" s="15"/>
      <c r="OFN3" s="15"/>
      <c r="OFO3" s="15"/>
      <c r="OFP3" s="15"/>
      <c r="OFQ3" s="15"/>
      <c r="OFR3" s="15"/>
      <c r="OFS3" s="15"/>
      <c r="OFT3" s="15"/>
      <c r="OFU3" s="15"/>
      <c r="OFV3" s="15"/>
      <c r="OFW3" s="15"/>
      <c r="OFX3" s="15"/>
      <c r="OFY3" s="15"/>
      <c r="OFZ3" s="15"/>
      <c r="OGA3" s="15"/>
      <c r="OGB3" s="15"/>
      <c r="OGC3" s="15"/>
      <c r="OGD3" s="15"/>
      <c r="OGE3" s="15"/>
      <c r="OGF3" s="15"/>
      <c r="OGG3" s="15"/>
      <c r="OGH3" s="15"/>
      <c r="OGI3" s="15"/>
      <c r="OGJ3" s="15"/>
      <c r="OGK3" s="15"/>
      <c r="OGL3" s="15"/>
      <c r="OGM3" s="15"/>
      <c r="OGN3" s="15"/>
      <c r="OGO3" s="15"/>
      <c r="OGP3" s="15"/>
      <c r="OGQ3" s="15"/>
      <c r="OGR3" s="15"/>
      <c r="OGS3" s="15"/>
      <c r="OGT3" s="15"/>
      <c r="OGU3" s="15"/>
      <c r="OGV3" s="15"/>
      <c r="OGW3" s="15"/>
      <c r="OGX3" s="15"/>
      <c r="OGY3" s="15"/>
      <c r="OGZ3" s="15"/>
      <c r="OHA3" s="15"/>
      <c r="OHB3" s="15"/>
      <c r="OHC3" s="15"/>
      <c r="OHD3" s="15"/>
      <c r="OHE3" s="15"/>
      <c r="OHF3" s="15"/>
      <c r="OHG3" s="15"/>
      <c r="OHH3" s="15"/>
      <c r="OHI3" s="15"/>
      <c r="OHJ3" s="15"/>
      <c r="OHK3" s="15"/>
      <c r="OHL3" s="15"/>
      <c r="OHM3" s="15"/>
      <c r="OHN3" s="15"/>
      <c r="OHO3" s="15"/>
      <c r="OHP3" s="15"/>
      <c r="OHQ3" s="15"/>
      <c r="OHR3" s="15"/>
      <c r="OHS3" s="15"/>
      <c r="OHT3" s="15"/>
      <c r="OHU3" s="15"/>
      <c r="OHV3" s="15"/>
      <c r="OHW3" s="15"/>
      <c r="OHX3" s="15"/>
      <c r="OHY3" s="15"/>
      <c r="OHZ3" s="15"/>
      <c r="OIA3" s="15"/>
      <c r="OIB3" s="15"/>
      <c r="OIC3" s="15"/>
      <c r="OID3" s="15"/>
      <c r="OIE3" s="15"/>
      <c r="OIF3" s="15"/>
      <c r="OIG3" s="15"/>
      <c r="OIH3" s="15"/>
      <c r="OII3" s="15"/>
      <c r="OIJ3" s="15"/>
      <c r="OIK3" s="15"/>
      <c r="OIL3" s="15"/>
      <c r="OIM3" s="15"/>
      <c r="OIN3" s="15"/>
      <c r="OIO3" s="15"/>
      <c r="OIP3" s="15"/>
      <c r="OIQ3" s="15"/>
      <c r="OIR3" s="15"/>
      <c r="OIS3" s="15"/>
      <c r="OIT3" s="15"/>
      <c r="OIU3" s="15"/>
      <c r="OIV3" s="15"/>
      <c r="OIW3" s="15"/>
      <c r="OIX3" s="15"/>
      <c r="OIY3" s="15"/>
      <c r="OIZ3" s="15"/>
      <c r="OJA3" s="15"/>
      <c r="OJB3" s="15"/>
      <c r="OJC3" s="15"/>
      <c r="OJD3" s="15"/>
      <c r="OJE3" s="15"/>
      <c r="OJF3" s="15"/>
      <c r="OJG3" s="15"/>
      <c r="OJH3" s="15"/>
      <c r="OJI3" s="15"/>
      <c r="OJJ3" s="15"/>
      <c r="OJK3" s="15"/>
      <c r="OJL3" s="15"/>
      <c r="OJM3" s="15"/>
      <c r="OJN3" s="15"/>
      <c r="OJO3" s="15"/>
      <c r="OJP3" s="15"/>
      <c r="OJQ3" s="15"/>
      <c r="OJR3" s="15"/>
      <c r="OJS3" s="15"/>
      <c r="OJT3" s="15"/>
      <c r="OJU3" s="15"/>
      <c r="OJV3" s="15"/>
      <c r="OJW3" s="15"/>
      <c r="OJX3" s="15"/>
      <c r="OJY3" s="15"/>
      <c r="OJZ3" s="15"/>
      <c r="OKA3" s="15"/>
      <c r="OKB3" s="15"/>
      <c r="OKC3" s="15"/>
      <c r="OKD3" s="15"/>
      <c r="OKE3" s="15"/>
      <c r="OKF3" s="15"/>
      <c r="OKG3" s="15"/>
      <c r="OKH3" s="15"/>
      <c r="OKI3" s="15"/>
      <c r="OKJ3" s="15"/>
      <c r="OKK3" s="15"/>
      <c r="OKL3" s="15"/>
      <c r="OKM3" s="15"/>
      <c r="OKN3" s="15"/>
      <c r="OKO3" s="15"/>
      <c r="OKP3" s="15"/>
      <c r="OKQ3" s="15"/>
      <c r="OKR3" s="15"/>
      <c r="OKS3" s="15"/>
      <c r="OKT3" s="15"/>
      <c r="OKU3" s="15"/>
      <c r="OKV3" s="15"/>
      <c r="OKW3" s="15"/>
      <c r="OKX3" s="15"/>
      <c r="OKY3" s="15"/>
      <c r="OKZ3" s="15"/>
      <c r="OLA3" s="15"/>
      <c r="OLB3" s="15"/>
      <c r="OLC3" s="15"/>
      <c r="OLD3" s="15"/>
      <c r="OLE3" s="15"/>
      <c r="OLF3" s="15"/>
      <c r="OLG3" s="15"/>
      <c r="OLH3" s="15"/>
      <c r="OLI3" s="15"/>
      <c r="OLJ3" s="15"/>
      <c r="OLK3" s="15"/>
      <c r="OLL3" s="15"/>
      <c r="OLM3" s="15"/>
      <c r="OLN3" s="15"/>
      <c r="OLO3" s="15"/>
      <c r="OLP3" s="15"/>
      <c r="OLQ3" s="15"/>
      <c r="OLR3" s="15"/>
      <c r="OLS3" s="15"/>
      <c r="OLT3" s="15"/>
      <c r="OLU3" s="15"/>
      <c r="OLV3" s="15"/>
      <c r="OLW3" s="15"/>
      <c r="OLX3" s="15"/>
      <c r="OLY3" s="15"/>
      <c r="OLZ3" s="15"/>
      <c r="OMA3" s="15"/>
      <c r="OMB3" s="15"/>
      <c r="OMC3" s="15"/>
      <c r="OMD3" s="15"/>
      <c r="OME3" s="15"/>
      <c r="OMF3" s="15"/>
      <c r="OMG3" s="15"/>
      <c r="OMH3" s="15"/>
      <c r="OMI3" s="15"/>
      <c r="OMJ3" s="15"/>
      <c r="OMK3" s="15"/>
      <c r="OML3" s="15"/>
      <c r="OMM3" s="15"/>
      <c r="OMN3" s="15"/>
      <c r="OMO3" s="15"/>
      <c r="OMP3" s="15"/>
      <c r="OMQ3" s="15"/>
      <c r="OMR3" s="15"/>
      <c r="OMS3" s="15"/>
      <c r="OMT3" s="15"/>
      <c r="OMU3" s="15"/>
      <c r="OMV3" s="15"/>
      <c r="OMW3" s="15"/>
      <c r="OMX3" s="15"/>
      <c r="OMY3" s="15"/>
      <c r="OMZ3" s="15"/>
      <c r="ONA3" s="15"/>
      <c r="ONB3" s="15"/>
      <c r="ONC3" s="15"/>
      <c r="OND3" s="15"/>
      <c r="ONE3" s="15"/>
      <c r="ONF3" s="15"/>
      <c r="ONG3" s="15"/>
      <c r="ONH3" s="15"/>
      <c r="ONI3" s="15"/>
      <c r="ONJ3" s="15"/>
      <c r="ONK3" s="15"/>
      <c r="ONL3" s="15"/>
      <c r="ONM3" s="15"/>
      <c r="ONN3" s="15"/>
      <c r="ONO3" s="15"/>
      <c r="ONP3" s="15"/>
      <c r="ONQ3" s="15"/>
      <c r="ONR3" s="15"/>
      <c r="ONS3" s="15"/>
      <c r="ONT3" s="15"/>
      <c r="ONU3" s="15"/>
      <c r="ONV3" s="15"/>
      <c r="ONW3" s="15"/>
      <c r="ONX3" s="15"/>
      <c r="ONY3" s="15"/>
      <c r="ONZ3" s="15"/>
      <c r="OOA3" s="15"/>
      <c r="OOB3" s="15"/>
      <c r="OOC3" s="15"/>
      <c r="OOD3" s="15"/>
      <c r="OOE3" s="15"/>
      <c r="OOF3" s="15"/>
      <c r="OOG3" s="15"/>
      <c r="OOH3" s="15"/>
      <c r="OOI3" s="15"/>
      <c r="OOJ3" s="15"/>
      <c r="OOK3" s="15"/>
      <c r="OOL3" s="15"/>
      <c r="OOM3" s="15"/>
      <c r="OON3" s="15"/>
      <c r="OOO3" s="15"/>
      <c r="OOP3" s="15"/>
      <c r="OOQ3" s="15"/>
      <c r="OOR3" s="15"/>
      <c r="OOS3" s="15"/>
      <c r="OOT3" s="15"/>
      <c r="OOU3" s="15"/>
      <c r="OOV3" s="15"/>
      <c r="OOW3" s="15"/>
      <c r="OOX3" s="15"/>
      <c r="OOY3" s="15"/>
      <c r="OOZ3" s="15"/>
      <c r="OPA3" s="15"/>
      <c r="OPB3" s="15"/>
      <c r="OPC3" s="15"/>
      <c r="OPD3" s="15"/>
      <c r="OPE3" s="15"/>
      <c r="OPF3" s="15"/>
      <c r="OPG3" s="15"/>
      <c r="OPH3" s="15"/>
      <c r="OPI3" s="15"/>
      <c r="OPJ3" s="15"/>
      <c r="OPK3" s="15"/>
      <c r="OPL3" s="15"/>
      <c r="OPM3" s="15"/>
      <c r="OPN3" s="15"/>
      <c r="OPO3" s="15"/>
      <c r="OPP3" s="15"/>
      <c r="OPQ3" s="15"/>
      <c r="OPR3" s="15"/>
      <c r="OPS3" s="15"/>
      <c r="OPT3" s="15"/>
      <c r="OPU3" s="15"/>
      <c r="OPV3" s="15"/>
      <c r="OPW3" s="15"/>
      <c r="OPX3" s="15"/>
      <c r="OPY3" s="15"/>
      <c r="OPZ3" s="15"/>
      <c r="OQA3" s="15"/>
      <c r="OQB3" s="15"/>
      <c r="OQC3" s="15"/>
      <c r="OQD3" s="15"/>
      <c r="OQE3" s="15"/>
      <c r="OQF3" s="15"/>
      <c r="OQG3" s="15"/>
      <c r="OQH3" s="15"/>
      <c r="OQI3" s="15"/>
      <c r="OQJ3" s="15"/>
      <c r="OQK3" s="15"/>
      <c r="OQL3" s="15"/>
      <c r="OQM3" s="15"/>
      <c r="OQN3" s="15"/>
      <c r="OQO3" s="15"/>
      <c r="OQP3" s="15"/>
      <c r="OQQ3" s="15"/>
      <c r="OQR3" s="15"/>
      <c r="OQS3" s="15"/>
      <c r="OQT3" s="15"/>
      <c r="OQU3" s="15"/>
      <c r="OQV3" s="15"/>
      <c r="OQW3" s="15"/>
      <c r="OQX3" s="15"/>
      <c r="OQY3" s="15"/>
      <c r="OQZ3" s="15"/>
      <c r="ORA3" s="15"/>
      <c r="ORB3" s="15"/>
      <c r="ORC3" s="15"/>
      <c r="ORD3" s="15"/>
      <c r="ORE3" s="15"/>
      <c r="ORF3" s="15"/>
      <c r="ORG3" s="15"/>
      <c r="ORH3" s="15"/>
      <c r="ORI3" s="15"/>
      <c r="ORJ3" s="15"/>
      <c r="ORK3" s="15"/>
      <c r="ORL3" s="15"/>
      <c r="ORM3" s="15"/>
      <c r="ORN3" s="15"/>
      <c r="ORO3" s="15"/>
      <c r="ORP3" s="15"/>
      <c r="ORQ3" s="15"/>
      <c r="ORR3" s="15"/>
      <c r="ORS3" s="15"/>
      <c r="ORT3" s="15"/>
      <c r="ORU3" s="15"/>
      <c r="ORV3" s="15"/>
      <c r="ORW3" s="15"/>
      <c r="ORX3" s="15"/>
      <c r="ORY3" s="15"/>
      <c r="ORZ3" s="15"/>
      <c r="OSA3" s="15"/>
      <c r="OSB3" s="15"/>
      <c r="OSC3" s="15"/>
      <c r="OSD3" s="15"/>
      <c r="OSE3" s="15"/>
      <c r="OSF3" s="15"/>
      <c r="OSG3" s="15"/>
      <c r="OSH3" s="15"/>
      <c r="OSI3" s="15"/>
      <c r="OSJ3" s="15"/>
      <c r="OSK3" s="15"/>
      <c r="OSL3" s="15"/>
      <c r="OSM3" s="15"/>
      <c r="OSN3" s="15"/>
      <c r="OSO3" s="15"/>
      <c r="OSP3" s="15"/>
      <c r="OSQ3" s="15"/>
      <c r="OSR3" s="15"/>
      <c r="OSS3" s="15"/>
      <c r="OST3" s="15"/>
      <c r="OSU3" s="15"/>
      <c r="OSV3" s="15"/>
      <c r="OSW3" s="15"/>
      <c r="OSX3" s="15"/>
      <c r="OSY3" s="15"/>
      <c r="OSZ3" s="15"/>
      <c r="OTA3" s="15"/>
      <c r="OTB3" s="15"/>
      <c r="OTC3" s="15"/>
      <c r="OTD3" s="15"/>
      <c r="OTE3" s="15"/>
      <c r="OTF3" s="15"/>
      <c r="OTG3" s="15"/>
      <c r="OTH3" s="15"/>
      <c r="OTI3" s="15"/>
      <c r="OTJ3" s="15"/>
      <c r="OTK3" s="15"/>
      <c r="OTL3" s="15"/>
      <c r="OTM3" s="15"/>
      <c r="OTN3" s="15"/>
      <c r="OTO3" s="15"/>
      <c r="OTP3" s="15"/>
      <c r="OTQ3" s="15"/>
      <c r="OTR3" s="15"/>
      <c r="OTS3" s="15"/>
      <c r="OTT3" s="15"/>
      <c r="OTU3" s="15"/>
      <c r="OTV3" s="15"/>
      <c r="OTW3" s="15"/>
      <c r="OTX3" s="15"/>
      <c r="OTY3" s="15"/>
      <c r="OTZ3" s="15"/>
      <c r="OUA3" s="15"/>
      <c r="OUB3" s="15"/>
      <c r="OUC3" s="15"/>
      <c r="OUD3" s="15"/>
      <c r="OUE3" s="15"/>
      <c r="OUF3" s="15"/>
      <c r="OUG3" s="15"/>
      <c r="OUH3" s="15"/>
      <c r="OUI3" s="15"/>
      <c r="OUJ3" s="15"/>
      <c r="OUK3" s="15"/>
      <c r="OUL3" s="15"/>
      <c r="OUM3" s="15"/>
      <c r="OUN3" s="15"/>
      <c r="OUO3" s="15"/>
      <c r="OUP3" s="15"/>
      <c r="OUQ3" s="15"/>
      <c r="OUR3" s="15"/>
      <c r="OUS3" s="15"/>
      <c r="OUT3" s="15"/>
      <c r="OUU3" s="15"/>
      <c r="OUV3" s="15"/>
      <c r="OUW3" s="15"/>
      <c r="OUX3" s="15"/>
      <c r="OUY3" s="15"/>
      <c r="OUZ3" s="15"/>
      <c r="OVA3" s="15"/>
      <c r="OVB3" s="15"/>
      <c r="OVC3" s="15"/>
      <c r="OVD3" s="15"/>
      <c r="OVE3" s="15"/>
      <c r="OVF3" s="15"/>
      <c r="OVG3" s="15"/>
      <c r="OVH3" s="15"/>
      <c r="OVI3" s="15"/>
      <c r="OVJ3" s="15"/>
      <c r="OVK3" s="15"/>
      <c r="OVL3" s="15"/>
      <c r="OVM3" s="15"/>
      <c r="OVN3" s="15"/>
      <c r="OVO3" s="15"/>
      <c r="OVP3" s="15"/>
      <c r="OVQ3" s="15"/>
      <c r="OVR3" s="15"/>
      <c r="OVS3" s="15"/>
      <c r="OVT3" s="15"/>
      <c r="OVU3" s="15"/>
      <c r="OVV3" s="15"/>
      <c r="OVW3" s="15"/>
      <c r="OVX3" s="15"/>
      <c r="OVY3" s="15"/>
      <c r="OVZ3" s="15"/>
      <c r="OWA3" s="15"/>
      <c r="OWB3" s="15"/>
      <c r="OWC3" s="15"/>
      <c r="OWD3" s="15"/>
      <c r="OWE3" s="15"/>
      <c r="OWF3" s="15"/>
      <c r="OWG3" s="15"/>
      <c r="OWH3" s="15"/>
      <c r="OWI3" s="15"/>
      <c r="OWJ3" s="15"/>
      <c r="OWK3" s="15"/>
      <c r="OWL3" s="15"/>
      <c r="OWM3" s="15"/>
      <c r="OWN3" s="15"/>
      <c r="OWO3" s="15"/>
      <c r="OWP3" s="15"/>
      <c r="OWQ3" s="15"/>
      <c r="OWR3" s="15"/>
      <c r="OWS3" s="15"/>
      <c r="OWT3" s="15"/>
      <c r="OWU3" s="15"/>
      <c r="OWV3" s="15"/>
      <c r="OWW3" s="15"/>
      <c r="OWX3" s="15"/>
      <c r="OWY3" s="15"/>
      <c r="OWZ3" s="15"/>
      <c r="OXA3" s="15"/>
      <c r="OXB3" s="15"/>
      <c r="OXC3" s="15"/>
      <c r="OXD3" s="15"/>
      <c r="OXE3" s="15"/>
      <c r="OXF3" s="15"/>
      <c r="OXG3" s="15"/>
      <c r="OXH3" s="15"/>
      <c r="OXI3" s="15"/>
      <c r="OXJ3" s="15"/>
      <c r="OXK3" s="15"/>
      <c r="OXL3" s="15"/>
      <c r="OXM3" s="15"/>
      <c r="OXN3" s="15"/>
      <c r="OXO3" s="15"/>
      <c r="OXP3" s="15"/>
      <c r="OXQ3" s="15"/>
      <c r="OXR3" s="15"/>
      <c r="OXS3" s="15"/>
      <c r="OXT3" s="15"/>
      <c r="OXU3" s="15"/>
      <c r="OXV3" s="15"/>
      <c r="OXW3" s="15"/>
      <c r="OXX3" s="15"/>
      <c r="OXY3" s="15"/>
      <c r="OXZ3" s="15"/>
      <c r="OYA3" s="15"/>
      <c r="OYB3" s="15"/>
      <c r="OYC3" s="15"/>
      <c r="OYD3" s="15"/>
      <c r="OYE3" s="15"/>
      <c r="OYF3" s="15"/>
      <c r="OYG3" s="15"/>
      <c r="OYH3" s="15"/>
      <c r="OYI3" s="15"/>
      <c r="OYJ3" s="15"/>
      <c r="OYK3" s="15"/>
      <c r="OYL3" s="15"/>
      <c r="OYM3" s="15"/>
      <c r="OYN3" s="15"/>
      <c r="OYO3" s="15"/>
      <c r="OYP3" s="15"/>
      <c r="OYQ3" s="15"/>
      <c r="OYR3" s="15"/>
      <c r="OYS3" s="15"/>
      <c r="OYT3" s="15"/>
      <c r="OYU3" s="15"/>
      <c r="OYV3" s="15"/>
      <c r="OYW3" s="15"/>
      <c r="OYX3" s="15"/>
      <c r="OYY3" s="15"/>
      <c r="OYZ3" s="15"/>
      <c r="OZA3" s="15"/>
      <c r="OZB3" s="15"/>
      <c r="OZC3" s="15"/>
      <c r="OZD3" s="15"/>
      <c r="OZE3" s="15"/>
      <c r="OZF3" s="15"/>
      <c r="OZG3" s="15"/>
      <c r="OZH3" s="15"/>
      <c r="OZI3" s="15"/>
      <c r="OZJ3" s="15"/>
      <c r="OZK3" s="15"/>
      <c r="OZL3" s="15"/>
      <c r="OZM3" s="15"/>
      <c r="OZN3" s="15"/>
      <c r="OZO3" s="15"/>
      <c r="OZP3" s="15"/>
      <c r="OZQ3" s="15"/>
      <c r="OZR3" s="15"/>
      <c r="OZS3" s="15"/>
      <c r="OZT3" s="15"/>
      <c r="OZU3" s="15"/>
      <c r="OZV3" s="15"/>
      <c r="OZW3" s="15"/>
      <c r="OZX3" s="15"/>
      <c r="OZY3" s="15"/>
      <c r="OZZ3" s="15"/>
      <c r="PAA3" s="15"/>
      <c r="PAB3" s="15"/>
      <c r="PAC3" s="15"/>
      <c r="PAD3" s="15"/>
      <c r="PAE3" s="15"/>
      <c r="PAF3" s="15"/>
      <c r="PAG3" s="15"/>
      <c r="PAH3" s="15"/>
      <c r="PAI3" s="15"/>
      <c r="PAJ3" s="15"/>
      <c r="PAK3" s="15"/>
      <c r="PAL3" s="15"/>
      <c r="PAM3" s="15"/>
      <c r="PAN3" s="15"/>
      <c r="PAO3" s="15"/>
      <c r="PAP3" s="15"/>
      <c r="PAQ3" s="15"/>
      <c r="PAR3" s="15"/>
      <c r="PAS3" s="15"/>
      <c r="PAT3" s="15"/>
      <c r="PAU3" s="15"/>
      <c r="PAV3" s="15"/>
      <c r="PAW3" s="15"/>
      <c r="PAX3" s="15"/>
      <c r="PAY3" s="15"/>
      <c r="PAZ3" s="15"/>
      <c r="PBA3" s="15"/>
      <c r="PBB3" s="15"/>
      <c r="PBC3" s="15"/>
      <c r="PBD3" s="15"/>
      <c r="PBE3" s="15"/>
      <c r="PBF3" s="15"/>
      <c r="PBG3" s="15"/>
      <c r="PBH3" s="15"/>
      <c r="PBI3" s="15"/>
      <c r="PBJ3" s="15"/>
      <c r="PBK3" s="15"/>
      <c r="PBL3" s="15"/>
      <c r="PBM3" s="15"/>
      <c r="PBN3" s="15"/>
      <c r="PBO3" s="15"/>
      <c r="PBP3" s="15"/>
      <c r="PBQ3" s="15"/>
      <c r="PBR3" s="15"/>
      <c r="PBS3" s="15"/>
      <c r="PBT3" s="15"/>
      <c r="PBU3" s="15"/>
      <c r="PBV3" s="15"/>
      <c r="PBW3" s="15"/>
      <c r="PBX3" s="15"/>
      <c r="PBY3" s="15"/>
      <c r="PBZ3" s="15"/>
      <c r="PCA3" s="15"/>
      <c r="PCB3" s="15"/>
      <c r="PCC3" s="15"/>
      <c r="PCD3" s="15"/>
      <c r="PCE3" s="15"/>
      <c r="PCF3" s="15"/>
      <c r="PCG3" s="15"/>
      <c r="PCH3" s="15"/>
      <c r="PCI3" s="15"/>
      <c r="PCJ3" s="15"/>
      <c r="PCK3" s="15"/>
      <c r="PCL3" s="15"/>
      <c r="PCM3" s="15"/>
      <c r="PCN3" s="15"/>
      <c r="PCO3" s="15"/>
      <c r="PCP3" s="15"/>
      <c r="PCQ3" s="15"/>
      <c r="PCR3" s="15"/>
      <c r="PCS3" s="15"/>
      <c r="PCT3" s="15"/>
      <c r="PCU3" s="15"/>
      <c r="PCV3" s="15"/>
      <c r="PCW3" s="15"/>
      <c r="PCX3" s="15"/>
      <c r="PCY3" s="15"/>
      <c r="PCZ3" s="15"/>
      <c r="PDA3" s="15"/>
      <c r="PDB3" s="15"/>
      <c r="PDC3" s="15"/>
      <c r="PDD3" s="15"/>
      <c r="PDE3" s="15"/>
      <c r="PDF3" s="15"/>
      <c r="PDG3" s="15"/>
      <c r="PDH3" s="15"/>
      <c r="PDI3" s="15"/>
      <c r="PDJ3" s="15"/>
      <c r="PDK3" s="15"/>
      <c r="PDL3" s="15"/>
      <c r="PDM3" s="15"/>
      <c r="PDN3" s="15"/>
      <c r="PDO3" s="15"/>
      <c r="PDP3" s="15"/>
      <c r="PDQ3" s="15"/>
      <c r="PDR3" s="15"/>
      <c r="PDS3" s="15"/>
      <c r="PDT3" s="15"/>
      <c r="PDU3" s="15"/>
      <c r="PDV3" s="15"/>
      <c r="PDW3" s="15"/>
      <c r="PDX3" s="15"/>
      <c r="PDY3" s="15"/>
      <c r="PDZ3" s="15"/>
      <c r="PEA3" s="15"/>
      <c r="PEB3" s="15"/>
      <c r="PEC3" s="15"/>
      <c r="PED3" s="15"/>
      <c r="PEE3" s="15"/>
      <c r="PEF3" s="15"/>
      <c r="PEG3" s="15"/>
      <c r="PEH3" s="15"/>
      <c r="PEI3" s="15"/>
      <c r="PEJ3" s="15"/>
      <c r="PEK3" s="15"/>
      <c r="PEL3" s="15"/>
      <c r="PEM3" s="15"/>
      <c r="PEN3" s="15"/>
      <c r="PEO3" s="15"/>
      <c r="PEP3" s="15"/>
      <c r="PEQ3" s="15"/>
      <c r="PER3" s="15"/>
      <c r="PES3" s="15"/>
      <c r="PET3" s="15"/>
      <c r="PEU3" s="15"/>
      <c r="PEV3" s="15"/>
      <c r="PEW3" s="15"/>
      <c r="PEX3" s="15"/>
      <c r="PEY3" s="15"/>
      <c r="PEZ3" s="15"/>
      <c r="PFA3" s="15"/>
      <c r="PFB3" s="15"/>
      <c r="PFC3" s="15"/>
      <c r="PFD3" s="15"/>
      <c r="PFE3" s="15"/>
      <c r="PFF3" s="15"/>
      <c r="PFG3" s="15"/>
      <c r="PFH3" s="15"/>
      <c r="PFI3" s="15"/>
      <c r="PFJ3" s="15"/>
      <c r="PFK3" s="15"/>
      <c r="PFL3" s="15"/>
      <c r="PFM3" s="15"/>
      <c r="PFN3" s="15"/>
      <c r="PFO3" s="15"/>
      <c r="PFP3" s="15"/>
      <c r="PFQ3" s="15"/>
      <c r="PFR3" s="15"/>
      <c r="PFS3" s="15"/>
      <c r="PFT3" s="15"/>
      <c r="PFU3" s="15"/>
      <c r="PFV3" s="15"/>
      <c r="PFW3" s="15"/>
      <c r="PFX3" s="15"/>
      <c r="PFY3" s="15"/>
      <c r="PFZ3" s="15"/>
      <c r="PGA3" s="15"/>
      <c r="PGB3" s="15"/>
      <c r="PGC3" s="15"/>
      <c r="PGD3" s="15"/>
      <c r="PGE3" s="15"/>
      <c r="PGF3" s="15"/>
      <c r="PGG3" s="15"/>
      <c r="PGH3" s="15"/>
      <c r="PGI3" s="15"/>
      <c r="PGJ3" s="15"/>
      <c r="PGK3" s="15"/>
      <c r="PGL3" s="15"/>
      <c r="PGM3" s="15"/>
      <c r="PGN3" s="15"/>
      <c r="PGO3" s="15"/>
      <c r="PGP3" s="15"/>
      <c r="PGQ3" s="15"/>
      <c r="PGR3" s="15"/>
      <c r="PGS3" s="15"/>
      <c r="PGT3" s="15"/>
      <c r="PGU3" s="15"/>
      <c r="PGV3" s="15"/>
      <c r="PGW3" s="15"/>
      <c r="PGX3" s="15"/>
      <c r="PGY3" s="15"/>
      <c r="PGZ3" s="15"/>
      <c r="PHA3" s="15"/>
      <c r="PHB3" s="15"/>
      <c r="PHC3" s="15"/>
      <c r="PHD3" s="15"/>
      <c r="PHE3" s="15"/>
      <c r="PHF3" s="15"/>
      <c r="PHG3" s="15"/>
      <c r="PHH3" s="15"/>
      <c r="PHI3" s="15"/>
      <c r="PHJ3" s="15"/>
      <c r="PHK3" s="15"/>
      <c r="PHL3" s="15"/>
      <c r="PHM3" s="15"/>
      <c r="PHN3" s="15"/>
      <c r="PHO3" s="15"/>
      <c r="PHP3" s="15"/>
      <c r="PHQ3" s="15"/>
      <c r="PHR3" s="15"/>
      <c r="PHS3" s="15"/>
      <c r="PHT3" s="15"/>
      <c r="PHU3" s="15"/>
      <c r="PHV3" s="15"/>
      <c r="PHW3" s="15"/>
      <c r="PHX3" s="15"/>
      <c r="PHY3" s="15"/>
      <c r="PHZ3" s="15"/>
      <c r="PIA3" s="15"/>
      <c r="PIB3" s="15"/>
      <c r="PIC3" s="15"/>
      <c r="PID3" s="15"/>
      <c r="PIE3" s="15"/>
      <c r="PIF3" s="15"/>
      <c r="PIG3" s="15"/>
      <c r="PIH3" s="15"/>
      <c r="PII3" s="15"/>
      <c r="PIJ3" s="15"/>
      <c r="PIK3" s="15"/>
      <c r="PIL3" s="15"/>
      <c r="PIM3" s="15"/>
      <c r="PIN3" s="15"/>
      <c r="PIO3" s="15"/>
      <c r="PIP3" s="15"/>
      <c r="PIQ3" s="15"/>
      <c r="PIR3" s="15"/>
      <c r="PIS3" s="15"/>
      <c r="PIT3" s="15"/>
      <c r="PIU3" s="15"/>
      <c r="PIV3" s="15"/>
      <c r="PIW3" s="15"/>
      <c r="PIX3" s="15"/>
      <c r="PIY3" s="15"/>
      <c r="PIZ3" s="15"/>
      <c r="PJA3" s="15"/>
      <c r="PJB3" s="15"/>
      <c r="PJC3" s="15"/>
      <c r="PJD3" s="15"/>
      <c r="PJE3" s="15"/>
      <c r="PJF3" s="15"/>
      <c r="PJG3" s="15"/>
      <c r="PJH3" s="15"/>
      <c r="PJI3" s="15"/>
      <c r="PJJ3" s="15"/>
      <c r="PJK3" s="15"/>
      <c r="PJL3" s="15"/>
      <c r="PJM3" s="15"/>
      <c r="PJN3" s="15"/>
      <c r="PJO3" s="15"/>
      <c r="PJP3" s="15"/>
      <c r="PJQ3" s="15"/>
      <c r="PJR3" s="15"/>
      <c r="PJS3" s="15"/>
      <c r="PJT3" s="15"/>
      <c r="PJU3" s="15"/>
      <c r="PJV3" s="15"/>
      <c r="PJW3" s="15"/>
      <c r="PJX3" s="15"/>
      <c r="PJY3" s="15"/>
      <c r="PJZ3" s="15"/>
      <c r="PKA3" s="15"/>
      <c r="PKB3" s="15"/>
      <c r="PKC3" s="15"/>
      <c r="PKD3" s="15"/>
      <c r="PKE3" s="15"/>
      <c r="PKF3" s="15"/>
      <c r="PKG3" s="15"/>
      <c r="PKH3" s="15"/>
      <c r="PKI3" s="15"/>
      <c r="PKJ3" s="15"/>
      <c r="PKK3" s="15"/>
      <c r="PKL3" s="15"/>
      <c r="PKM3" s="15"/>
      <c r="PKN3" s="15"/>
      <c r="PKO3" s="15"/>
      <c r="PKP3" s="15"/>
      <c r="PKQ3" s="15"/>
      <c r="PKR3" s="15"/>
      <c r="PKS3" s="15"/>
      <c r="PKT3" s="15"/>
      <c r="PKU3" s="15"/>
      <c r="PKV3" s="15"/>
      <c r="PKW3" s="15"/>
      <c r="PKX3" s="15"/>
      <c r="PKY3" s="15"/>
      <c r="PKZ3" s="15"/>
      <c r="PLA3" s="15"/>
      <c r="PLB3" s="15"/>
      <c r="PLC3" s="15"/>
      <c r="PLD3" s="15"/>
      <c r="PLE3" s="15"/>
      <c r="PLF3" s="15"/>
      <c r="PLG3" s="15"/>
      <c r="PLH3" s="15"/>
      <c r="PLI3" s="15"/>
      <c r="PLJ3" s="15"/>
      <c r="PLK3" s="15"/>
      <c r="PLL3" s="15"/>
      <c r="PLM3" s="15"/>
      <c r="PLN3" s="15"/>
      <c r="PLO3" s="15"/>
      <c r="PLP3" s="15"/>
      <c r="PLQ3" s="15"/>
      <c r="PLR3" s="15"/>
      <c r="PLS3" s="15"/>
      <c r="PLT3" s="15"/>
      <c r="PLU3" s="15"/>
      <c r="PLV3" s="15"/>
      <c r="PLW3" s="15"/>
      <c r="PLX3" s="15"/>
      <c r="PLY3" s="15"/>
      <c r="PLZ3" s="15"/>
      <c r="PMA3" s="15"/>
      <c r="PMB3" s="15"/>
      <c r="PMC3" s="15"/>
      <c r="PMD3" s="15"/>
      <c r="PME3" s="15"/>
      <c r="PMF3" s="15"/>
      <c r="PMG3" s="15"/>
      <c r="PMH3" s="15"/>
      <c r="PMI3" s="15"/>
      <c r="PMJ3" s="15"/>
      <c r="PMK3" s="15"/>
      <c r="PML3" s="15"/>
      <c r="PMM3" s="15"/>
      <c r="PMN3" s="15"/>
      <c r="PMO3" s="15"/>
      <c r="PMP3" s="15"/>
      <c r="PMQ3" s="15"/>
      <c r="PMR3" s="15"/>
      <c r="PMS3" s="15"/>
      <c r="PMT3" s="15"/>
      <c r="PMU3" s="15"/>
      <c r="PMV3" s="15"/>
      <c r="PMW3" s="15"/>
      <c r="PMX3" s="15"/>
      <c r="PMY3" s="15"/>
      <c r="PMZ3" s="15"/>
      <c r="PNA3" s="15"/>
      <c r="PNB3" s="15"/>
      <c r="PNC3" s="15"/>
      <c r="PND3" s="15"/>
      <c r="PNE3" s="15"/>
      <c r="PNF3" s="15"/>
      <c r="PNG3" s="15"/>
      <c r="PNH3" s="15"/>
      <c r="PNI3" s="15"/>
      <c r="PNJ3" s="15"/>
      <c r="PNK3" s="15"/>
      <c r="PNL3" s="15"/>
      <c r="PNM3" s="15"/>
      <c r="PNN3" s="15"/>
      <c r="PNO3" s="15"/>
      <c r="PNP3" s="15"/>
      <c r="PNQ3" s="15"/>
      <c r="PNR3" s="15"/>
      <c r="PNS3" s="15"/>
      <c r="PNT3" s="15"/>
      <c r="PNU3" s="15"/>
      <c r="PNV3" s="15"/>
      <c r="PNW3" s="15"/>
      <c r="PNX3" s="15"/>
      <c r="PNY3" s="15"/>
      <c r="PNZ3" s="15"/>
      <c r="POA3" s="15"/>
      <c r="POB3" s="15"/>
      <c r="POC3" s="15"/>
      <c r="POD3" s="15"/>
      <c r="POE3" s="15"/>
      <c r="POF3" s="15"/>
      <c r="POG3" s="15"/>
      <c r="POH3" s="15"/>
      <c r="POI3" s="15"/>
      <c r="POJ3" s="15"/>
      <c r="POK3" s="15"/>
      <c r="POL3" s="15"/>
      <c r="POM3" s="15"/>
      <c r="PON3" s="15"/>
      <c r="POO3" s="15"/>
      <c r="POP3" s="15"/>
      <c r="POQ3" s="15"/>
      <c r="POR3" s="15"/>
      <c r="POS3" s="15"/>
      <c r="POT3" s="15"/>
      <c r="POU3" s="15"/>
      <c r="POV3" s="15"/>
      <c r="POW3" s="15"/>
      <c r="POX3" s="15"/>
      <c r="POY3" s="15"/>
      <c r="POZ3" s="15"/>
      <c r="PPA3" s="15"/>
      <c r="PPB3" s="15"/>
      <c r="PPC3" s="15"/>
      <c r="PPD3" s="15"/>
      <c r="PPE3" s="15"/>
      <c r="PPF3" s="15"/>
      <c r="PPG3" s="15"/>
      <c r="PPH3" s="15"/>
      <c r="PPI3" s="15"/>
      <c r="PPJ3" s="15"/>
      <c r="PPK3" s="15"/>
      <c r="PPL3" s="15"/>
      <c r="PPM3" s="15"/>
      <c r="PPN3" s="15"/>
      <c r="PPO3" s="15"/>
      <c r="PPP3" s="15"/>
      <c r="PPQ3" s="15"/>
      <c r="PPR3" s="15"/>
      <c r="PPS3" s="15"/>
      <c r="PPT3" s="15"/>
      <c r="PPU3" s="15"/>
      <c r="PPV3" s="15"/>
      <c r="PPW3" s="15"/>
      <c r="PPX3" s="15"/>
      <c r="PPY3" s="15"/>
      <c r="PPZ3" s="15"/>
      <c r="PQA3" s="15"/>
      <c r="PQB3" s="15"/>
      <c r="PQC3" s="15"/>
      <c r="PQD3" s="15"/>
      <c r="PQE3" s="15"/>
      <c r="PQF3" s="15"/>
      <c r="PQG3" s="15"/>
      <c r="PQH3" s="15"/>
      <c r="PQI3" s="15"/>
      <c r="PQJ3" s="15"/>
      <c r="PQK3" s="15"/>
      <c r="PQL3" s="15"/>
      <c r="PQM3" s="15"/>
      <c r="PQN3" s="15"/>
      <c r="PQO3" s="15"/>
      <c r="PQP3" s="15"/>
      <c r="PQQ3" s="15"/>
      <c r="PQR3" s="15"/>
      <c r="PQS3" s="15"/>
      <c r="PQT3" s="15"/>
      <c r="PQU3" s="15"/>
      <c r="PQV3" s="15"/>
      <c r="PQW3" s="15"/>
      <c r="PQX3" s="15"/>
      <c r="PQY3" s="15"/>
      <c r="PQZ3" s="15"/>
      <c r="PRA3" s="15"/>
      <c r="PRB3" s="15"/>
      <c r="PRC3" s="15"/>
      <c r="PRD3" s="15"/>
      <c r="PRE3" s="15"/>
      <c r="PRF3" s="15"/>
      <c r="PRG3" s="15"/>
      <c r="PRH3" s="15"/>
      <c r="PRI3" s="15"/>
      <c r="PRJ3" s="15"/>
      <c r="PRK3" s="15"/>
      <c r="PRL3" s="15"/>
      <c r="PRM3" s="15"/>
      <c r="PRN3" s="15"/>
      <c r="PRO3" s="15"/>
      <c r="PRP3" s="15"/>
      <c r="PRQ3" s="15"/>
      <c r="PRR3" s="15"/>
      <c r="PRS3" s="15"/>
      <c r="PRT3" s="15"/>
      <c r="PRU3" s="15"/>
      <c r="PRV3" s="15"/>
      <c r="PRW3" s="15"/>
      <c r="PRX3" s="15"/>
      <c r="PRY3" s="15"/>
      <c r="PRZ3" s="15"/>
      <c r="PSA3" s="15"/>
      <c r="PSB3" s="15"/>
      <c r="PSC3" s="15"/>
      <c r="PSD3" s="15"/>
      <c r="PSE3" s="15"/>
      <c r="PSF3" s="15"/>
      <c r="PSG3" s="15"/>
      <c r="PSH3" s="15"/>
      <c r="PSI3" s="15"/>
      <c r="PSJ3" s="15"/>
      <c r="PSK3" s="15"/>
      <c r="PSL3" s="15"/>
      <c r="PSM3" s="15"/>
      <c r="PSN3" s="15"/>
      <c r="PSO3" s="15"/>
      <c r="PSP3" s="15"/>
      <c r="PSQ3" s="15"/>
      <c r="PSR3" s="15"/>
      <c r="PSS3" s="15"/>
      <c r="PST3" s="15"/>
      <c r="PSU3" s="15"/>
      <c r="PSV3" s="15"/>
      <c r="PSW3" s="15"/>
      <c r="PSX3" s="15"/>
      <c r="PSY3" s="15"/>
      <c r="PSZ3" s="15"/>
      <c r="PTA3" s="15"/>
      <c r="PTB3" s="15"/>
      <c r="PTC3" s="15"/>
      <c r="PTD3" s="15"/>
      <c r="PTE3" s="15"/>
      <c r="PTF3" s="15"/>
      <c r="PTG3" s="15"/>
      <c r="PTH3" s="15"/>
      <c r="PTI3" s="15"/>
      <c r="PTJ3" s="15"/>
      <c r="PTK3" s="15"/>
      <c r="PTL3" s="15"/>
      <c r="PTM3" s="15"/>
      <c r="PTN3" s="15"/>
      <c r="PTO3" s="15"/>
      <c r="PTP3" s="15"/>
      <c r="PTQ3" s="15"/>
      <c r="PTR3" s="15"/>
      <c r="PTS3" s="15"/>
      <c r="PTT3" s="15"/>
      <c r="PTU3" s="15"/>
      <c r="PTV3" s="15"/>
      <c r="PTW3" s="15"/>
      <c r="PTX3" s="15"/>
      <c r="PTY3" s="15"/>
      <c r="PTZ3" s="15"/>
      <c r="PUA3" s="15"/>
      <c r="PUB3" s="15"/>
      <c r="PUC3" s="15"/>
      <c r="PUD3" s="15"/>
      <c r="PUE3" s="15"/>
      <c r="PUF3" s="15"/>
      <c r="PUG3" s="15"/>
      <c r="PUH3" s="15"/>
      <c r="PUI3" s="15"/>
      <c r="PUJ3" s="15"/>
      <c r="PUK3" s="15"/>
      <c r="PUL3" s="15"/>
      <c r="PUM3" s="15"/>
      <c r="PUN3" s="15"/>
      <c r="PUO3" s="15"/>
      <c r="PUP3" s="15"/>
      <c r="PUQ3" s="15"/>
      <c r="PUR3" s="15"/>
      <c r="PUS3" s="15"/>
      <c r="PUT3" s="15"/>
      <c r="PUU3" s="15"/>
      <c r="PUV3" s="15"/>
      <c r="PUW3" s="15"/>
      <c r="PUX3" s="15"/>
      <c r="PUY3" s="15"/>
      <c r="PUZ3" s="15"/>
      <c r="PVA3" s="15"/>
      <c r="PVB3" s="15"/>
      <c r="PVC3" s="15"/>
      <c r="PVD3" s="15"/>
      <c r="PVE3" s="15"/>
      <c r="PVF3" s="15"/>
      <c r="PVG3" s="15"/>
      <c r="PVH3" s="15"/>
      <c r="PVI3" s="15"/>
      <c r="PVJ3" s="15"/>
      <c r="PVK3" s="15"/>
      <c r="PVL3" s="15"/>
      <c r="PVM3" s="15"/>
      <c r="PVN3" s="15"/>
      <c r="PVO3" s="15"/>
      <c r="PVP3" s="15"/>
      <c r="PVQ3" s="15"/>
      <c r="PVR3" s="15"/>
      <c r="PVS3" s="15"/>
      <c r="PVT3" s="15"/>
      <c r="PVU3" s="15"/>
      <c r="PVV3" s="15"/>
      <c r="PVW3" s="15"/>
      <c r="PVX3" s="15"/>
      <c r="PVY3" s="15"/>
      <c r="PVZ3" s="15"/>
      <c r="PWA3" s="15"/>
      <c r="PWB3" s="15"/>
      <c r="PWC3" s="15"/>
      <c r="PWD3" s="15"/>
      <c r="PWE3" s="15"/>
      <c r="PWF3" s="15"/>
      <c r="PWG3" s="15"/>
      <c r="PWH3" s="15"/>
      <c r="PWI3" s="15"/>
      <c r="PWJ3" s="15"/>
      <c r="PWK3" s="15"/>
      <c r="PWL3" s="15"/>
      <c r="PWM3" s="15"/>
      <c r="PWN3" s="15"/>
      <c r="PWO3" s="15"/>
      <c r="PWP3" s="15"/>
      <c r="PWQ3" s="15"/>
      <c r="PWR3" s="15"/>
      <c r="PWS3" s="15"/>
      <c r="PWT3" s="15"/>
      <c r="PWU3" s="15"/>
      <c r="PWV3" s="15"/>
      <c r="PWW3" s="15"/>
      <c r="PWX3" s="15"/>
      <c r="PWY3" s="15"/>
      <c r="PWZ3" s="15"/>
      <c r="PXA3" s="15"/>
      <c r="PXB3" s="15"/>
      <c r="PXC3" s="15"/>
      <c r="PXD3" s="15"/>
      <c r="PXE3" s="15"/>
      <c r="PXF3" s="15"/>
      <c r="PXG3" s="15"/>
      <c r="PXH3" s="15"/>
      <c r="PXI3" s="15"/>
      <c r="PXJ3" s="15"/>
      <c r="PXK3" s="15"/>
      <c r="PXL3" s="15"/>
      <c r="PXM3" s="15"/>
      <c r="PXN3" s="15"/>
      <c r="PXO3" s="15"/>
      <c r="PXP3" s="15"/>
      <c r="PXQ3" s="15"/>
      <c r="PXR3" s="15"/>
      <c r="PXS3" s="15"/>
      <c r="PXT3" s="15"/>
      <c r="PXU3" s="15"/>
      <c r="PXV3" s="15"/>
      <c r="PXW3" s="15"/>
      <c r="PXX3" s="15"/>
      <c r="PXY3" s="15"/>
      <c r="PXZ3" s="15"/>
      <c r="PYA3" s="15"/>
      <c r="PYB3" s="15"/>
      <c r="PYC3" s="15"/>
      <c r="PYD3" s="15"/>
      <c r="PYE3" s="15"/>
      <c r="PYF3" s="15"/>
      <c r="PYG3" s="15"/>
      <c r="PYH3" s="15"/>
      <c r="PYI3" s="15"/>
      <c r="PYJ3" s="15"/>
      <c r="PYK3" s="15"/>
      <c r="PYL3" s="15"/>
      <c r="PYM3" s="15"/>
      <c r="PYN3" s="15"/>
      <c r="PYO3" s="15"/>
      <c r="PYP3" s="15"/>
      <c r="PYQ3" s="15"/>
      <c r="PYR3" s="15"/>
      <c r="PYS3" s="15"/>
      <c r="PYT3" s="15"/>
      <c r="PYU3" s="15"/>
      <c r="PYV3" s="15"/>
      <c r="PYW3" s="15"/>
      <c r="PYX3" s="15"/>
      <c r="PYY3" s="15"/>
      <c r="PYZ3" s="15"/>
      <c r="PZA3" s="15"/>
      <c r="PZB3" s="15"/>
      <c r="PZC3" s="15"/>
      <c r="PZD3" s="15"/>
      <c r="PZE3" s="15"/>
      <c r="PZF3" s="15"/>
      <c r="PZG3" s="15"/>
      <c r="PZH3" s="15"/>
      <c r="PZI3" s="15"/>
      <c r="PZJ3" s="15"/>
      <c r="PZK3" s="15"/>
      <c r="PZL3" s="15"/>
      <c r="PZM3" s="15"/>
      <c r="PZN3" s="15"/>
      <c r="PZO3" s="15"/>
      <c r="PZP3" s="15"/>
      <c r="PZQ3" s="15"/>
      <c r="PZR3" s="15"/>
      <c r="PZS3" s="15"/>
      <c r="PZT3" s="15"/>
      <c r="PZU3" s="15"/>
      <c r="PZV3" s="15"/>
      <c r="PZW3" s="15"/>
      <c r="PZX3" s="15"/>
      <c r="PZY3" s="15"/>
      <c r="PZZ3" s="15"/>
      <c r="QAA3" s="15"/>
      <c r="QAB3" s="15"/>
      <c r="QAC3" s="15"/>
      <c r="QAD3" s="15"/>
      <c r="QAE3" s="15"/>
      <c r="QAF3" s="15"/>
      <c r="QAG3" s="15"/>
      <c r="QAH3" s="15"/>
      <c r="QAI3" s="15"/>
      <c r="QAJ3" s="15"/>
      <c r="QAK3" s="15"/>
      <c r="QAL3" s="15"/>
      <c r="QAM3" s="15"/>
      <c r="QAN3" s="15"/>
      <c r="QAO3" s="15"/>
      <c r="QAP3" s="15"/>
      <c r="QAQ3" s="15"/>
      <c r="QAR3" s="15"/>
      <c r="QAS3" s="15"/>
      <c r="QAT3" s="15"/>
      <c r="QAU3" s="15"/>
      <c r="QAV3" s="15"/>
      <c r="QAW3" s="15"/>
      <c r="QAX3" s="15"/>
      <c r="QAY3" s="15"/>
      <c r="QAZ3" s="15"/>
      <c r="QBA3" s="15"/>
      <c r="QBB3" s="15"/>
      <c r="QBC3" s="15"/>
      <c r="QBD3" s="15"/>
      <c r="QBE3" s="15"/>
      <c r="QBF3" s="15"/>
      <c r="QBG3" s="15"/>
      <c r="QBH3" s="15"/>
      <c r="QBI3" s="15"/>
      <c r="QBJ3" s="15"/>
      <c r="QBK3" s="15"/>
      <c r="QBL3" s="15"/>
      <c r="QBM3" s="15"/>
      <c r="QBN3" s="15"/>
      <c r="QBO3" s="15"/>
      <c r="QBP3" s="15"/>
      <c r="QBQ3" s="15"/>
      <c r="QBR3" s="15"/>
      <c r="QBS3" s="15"/>
      <c r="QBT3" s="15"/>
      <c r="QBU3" s="15"/>
      <c r="QBV3" s="15"/>
      <c r="QBW3" s="15"/>
      <c r="QBX3" s="15"/>
      <c r="QBY3" s="15"/>
      <c r="QBZ3" s="15"/>
      <c r="QCA3" s="15"/>
      <c r="QCB3" s="15"/>
      <c r="QCC3" s="15"/>
      <c r="QCD3" s="15"/>
      <c r="QCE3" s="15"/>
      <c r="QCF3" s="15"/>
      <c r="QCG3" s="15"/>
      <c r="QCH3" s="15"/>
      <c r="QCI3" s="15"/>
      <c r="QCJ3" s="15"/>
      <c r="QCK3" s="15"/>
      <c r="QCL3" s="15"/>
      <c r="QCM3" s="15"/>
      <c r="QCN3" s="15"/>
      <c r="QCO3" s="15"/>
      <c r="QCP3" s="15"/>
      <c r="QCQ3" s="15"/>
      <c r="QCR3" s="15"/>
      <c r="QCS3" s="15"/>
      <c r="QCT3" s="15"/>
      <c r="QCU3" s="15"/>
      <c r="QCV3" s="15"/>
      <c r="QCW3" s="15"/>
      <c r="QCX3" s="15"/>
      <c r="QCY3" s="15"/>
      <c r="QCZ3" s="15"/>
      <c r="QDA3" s="15"/>
      <c r="QDB3" s="15"/>
      <c r="QDC3" s="15"/>
      <c r="QDD3" s="15"/>
      <c r="QDE3" s="15"/>
      <c r="QDF3" s="15"/>
      <c r="QDG3" s="15"/>
      <c r="QDH3" s="15"/>
      <c r="QDI3" s="15"/>
      <c r="QDJ3" s="15"/>
      <c r="QDK3" s="15"/>
      <c r="QDL3" s="15"/>
      <c r="QDM3" s="15"/>
      <c r="QDN3" s="15"/>
      <c r="QDO3" s="15"/>
      <c r="QDP3" s="15"/>
      <c r="QDQ3" s="15"/>
      <c r="QDR3" s="15"/>
      <c r="QDS3" s="15"/>
      <c r="QDT3" s="15"/>
      <c r="QDU3" s="15"/>
      <c r="QDV3" s="15"/>
      <c r="QDW3" s="15"/>
      <c r="QDX3" s="15"/>
      <c r="QDY3" s="15"/>
      <c r="QDZ3" s="15"/>
      <c r="QEA3" s="15"/>
      <c r="QEB3" s="15"/>
      <c r="QEC3" s="15"/>
      <c r="QED3" s="15"/>
      <c r="QEE3" s="15"/>
      <c r="QEF3" s="15"/>
      <c r="QEG3" s="15"/>
      <c r="QEH3" s="15"/>
      <c r="QEI3" s="15"/>
      <c r="QEJ3" s="15"/>
      <c r="QEK3" s="15"/>
      <c r="QEL3" s="15"/>
      <c r="QEM3" s="15"/>
      <c r="QEN3" s="15"/>
      <c r="QEO3" s="15"/>
      <c r="QEP3" s="15"/>
      <c r="QEQ3" s="15"/>
      <c r="QER3" s="15"/>
      <c r="QES3" s="15"/>
      <c r="QET3" s="15"/>
      <c r="QEU3" s="15"/>
      <c r="QEV3" s="15"/>
      <c r="QEW3" s="15"/>
      <c r="QEX3" s="15"/>
      <c r="QEY3" s="15"/>
      <c r="QEZ3" s="15"/>
      <c r="QFA3" s="15"/>
      <c r="QFB3" s="15"/>
      <c r="QFC3" s="15"/>
      <c r="QFD3" s="15"/>
      <c r="QFE3" s="15"/>
      <c r="QFF3" s="15"/>
      <c r="QFG3" s="15"/>
      <c r="QFH3" s="15"/>
      <c r="QFI3" s="15"/>
      <c r="QFJ3" s="15"/>
      <c r="QFK3" s="15"/>
      <c r="QFL3" s="15"/>
      <c r="QFM3" s="15"/>
      <c r="QFN3" s="15"/>
      <c r="QFO3" s="15"/>
      <c r="QFP3" s="15"/>
      <c r="QFQ3" s="15"/>
      <c r="QFR3" s="15"/>
      <c r="QFS3" s="15"/>
      <c r="QFT3" s="15"/>
      <c r="QFU3" s="15"/>
      <c r="QFV3" s="15"/>
      <c r="QFW3" s="15"/>
      <c r="QFX3" s="15"/>
      <c r="QFY3" s="15"/>
      <c r="QFZ3" s="15"/>
      <c r="QGA3" s="15"/>
      <c r="QGB3" s="15"/>
      <c r="QGC3" s="15"/>
      <c r="QGD3" s="15"/>
      <c r="QGE3" s="15"/>
      <c r="QGF3" s="15"/>
      <c r="QGG3" s="15"/>
      <c r="QGH3" s="15"/>
      <c r="QGI3" s="15"/>
      <c r="QGJ3" s="15"/>
      <c r="QGK3" s="15"/>
      <c r="QGL3" s="15"/>
      <c r="QGM3" s="15"/>
      <c r="QGN3" s="15"/>
      <c r="QGO3" s="15"/>
      <c r="QGP3" s="15"/>
      <c r="QGQ3" s="15"/>
      <c r="QGR3" s="15"/>
      <c r="QGS3" s="15"/>
      <c r="QGT3" s="15"/>
      <c r="QGU3" s="15"/>
      <c r="QGV3" s="15"/>
      <c r="QGW3" s="15"/>
      <c r="QGX3" s="15"/>
      <c r="QGY3" s="15"/>
      <c r="QGZ3" s="15"/>
      <c r="QHA3" s="15"/>
      <c r="QHB3" s="15"/>
      <c r="QHC3" s="15"/>
      <c r="QHD3" s="15"/>
      <c r="QHE3" s="15"/>
      <c r="QHF3" s="15"/>
      <c r="QHG3" s="15"/>
      <c r="QHH3" s="15"/>
      <c r="QHI3" s="15"/>
      <c r="QHJ3" s="15"/>
      <c r="QHK3" s="15"/>
      <c r="QHL3" s="15"/>
      <c r="QHM3" s="15"/>
      <c r="QHN3" s="15"/>
      <c r="QHO3" s="15"/>
      <c r="QHP3" s="15"/>
      <c r="QHQ3" s="15"/>
      <c r="QHR3" s="15"/>
      <c r="QHS3" s="15"/>
      <c r="QHT3" s="15"/>
      <c r="QHU3" s="15"/>
      <c r="QHV3" s="15"/>
      <c r="QHW3" s="15"/>
      <c r="QHX3" s="15"/>
      <c r="QHY3" s="15"/>
      <c r="QHZ3" s="15"/>
      <c r="QIA3" s="15"/>
      <c r="QIB3" s="15"/>
      <c r="QIC3" s="15"/>
      <c r="QID3" s="15"/>
      <c r="QIE3" s="15"/>
      <c r="QIF3" s="15"/>
      <c r="QIG3" s="15"/>
      <c r="QIH3" s="15"/>
      <c r="QII3" s="15"/>
      <c r="QIJ3" s="15"/>
      <c r="QIK3" s="15"/>
      <c r="QIL3" s="15"/>
      <c r="QIM3" s="15"/>
      <c r="QIN3" s="15"/>
      <c r="QIO3" s="15"/>
      <c r="QIP3" s="15"/>
      <c r="QIQ3" s="15"/>
      <c r="QIR3" s="15"/>
      <c r="QIS3" s="15"/>
      <c r="QIT3" s="15"/>
      <c r="QIU3" s="15"/>
      <c r="QIV3" s="15"/>
      <c r="QIW3" s="15"/>
      <c r="QIX3" s="15"/>
      <c r="QIY3" s="15"/>
      <c r="QIZ3" s="15"/>
      <c r="QJA3" s="15"/>
      <c r="QJB3" s="15"/>
      <c r="QJC3" s="15"/>
      <c r="QJD3" s="15"/>
      <c r="QJE3" s="15"/>
      <c r="QJF3" s="15"/>
      <c r="QJG3" s="15"/>
      <c r="QJH3" s="15"/>
      <c r="QJI3" s="15"/>
      <c r="QJJ3" s="15"/>
      <c r="QJK3" s="15"/>
      <c r="QJL3" s="15"/>
      <c r="QJM3" s="15"/>
      <c r="QJN3" s="15"/>
      <c r="QJO3" s="15"/>
      <c r="QJP3" s="15"/>
      <c r="QJQ3" s="15"/>
      <c r="QJR3" s="15"/>
      <c r="QJS3" s="15"/>
      <c r="QJT3" s="15"/>
      <c r="QJU3" s="15"/>
      <c r="QJV3" s="15"/>
      <c r="QJW3" s="15"/>
      <c r="QJX3" s="15"/>
      <c r="QJY3" s="15"/>
      <c r="QJZ3" s="15"/>
      <c r="QKA3" s="15"/>
      <c r="QKB3" s="15"/>
      <c r="QKC3" s="15"/>
      <c r="QKD3" s="15"/>
      <c r="QKE3" s="15"/>
      <c r="QKF3" s="15"/>
      <c r="QKG3" s="15"/>
      <c r="QKH3" s="15"/>
      <c r="QKI3" s="15"/>
      <c r="QKJ3" s="15"/>
      <c r="QKK3" s="15"/>
      <c r="QKL3" s="15"/>
      <c r="QKM3" s="15"/>
      <c r="QKN3" s="15"/>
      <c r="QKO3" s="15"/>
      <c r="QKP3" s="15"/>
      <c r="QKQ3" s="15"/>
      <c r="QKR3" s="15"/>
      <c r="QKS3" s="15"/>
      <c r="QKT3" s="15"/>
      <c r="QKU3" s="15"/>
      <c r="QKV3" s="15"/>
      <c r="QKW3" s="15"/>
      <c r="QKX3" s="15"/>
      <c r="QKY3" s="15"/>
      <c r="QKZ3" s="15"/>
      <c r="QLA3" s="15"/>
      <c r="QLB3" s="15"/>
      <c r="QLC3" s="15"/>
      <c r="QLD3" s="15"/>
      <c r="QLE3" s="15"/>
      <c r="QLF3" s="15"/>
      <c r="QLG3" s="15"/>
      <c r="QLH3" s="15"/>
      <c r="QLI3" s="15"/>
      <c r="QLJ3" s="15"/>
      <c r="QLK3" s="15"/>
      <c r="QLL3" s="15"/>
      <c r="QLM3" s="15"/>
      <c r="QLN3" s="15"/>
      <c r="QLO3" s="15"/>
      <c r="QLP3" s="15"/>
      <c r="QLQ3" s="15"/>
      <c r="QLR3" s="15"/>
      <c r="QLS3" s="15"/>
      <c r="QLT3" s="15"/>
      <c r="QLU3" s="15"/>
      <c r="QLV3" s="15"/>
      <c r="QLW3" s="15"/>
      <c r="QLX3" s="15"/>
      <c r="QLY3" s="15"/>
      <c r="QLZ3" s="15"/>
      <c r="QMA3" s="15"/>
      <c r="QMB3" s="15"/>
      <c r="QMC3" s="15"/>
      <c r="QMD3" s="15"/>
      <c r="QME3" s="15"/>
      <c r="QMF3" s="15"/>
      <c r="QMG3" s="15"/>
      <c r="QMH3" s="15"/>
      <c r="QMI3" s="15"/>
      <c r="QMJ3" s="15"/>
      <c r="QMK3" s="15"/>
      <c r="QML3" s="15"/>
      <c r="QMM3" s="15"/>
      <c r="QMN3" s="15"/>
      <c r="QMO3" s="15"/>
      <c r="QMP3" s="15"/>
      <c r="QMQ3" s="15"/>
      <c r="QMR3" s="15"/>
      <c r="QMS3" s="15"/>
      <c r="QMT3" s="15"/>
      <c r="QMU3" s="15"/>
      <c r="QMV3" s="15"/>
      <c r="QMW3" s="15"/>
      <c r="QMX3" s="15"/>
      <c r="QMY3" s="15"/>
      <c r="QMZ3" s="15"/>
      <c r="QNA3" s="15"/>
      <c r="QNB3" s="15"/>
      <c r="QNC3" s="15"/>
      <c r="QND3" s="15"/>
      <c r="QNE3" s="15"/>
      <c r="QNF3" s="15"/>
      <c r="QNG3" s="15"/>
      <c r="QNH3" s="15"/>
      <c r="QNI3" s="15"/>
      <c r="QNJ3" s="15"/>
      <c r="QNK3" s="15"/>
      <c r="QNL3" s="15"/>
      <c r="QNM3" s="15"/>
      <c r="QNN3" s="15"/>
      <c r="QNO3" s="15"/>
      <c r="QNP3" s="15"/>
      <c r="QNQ3" s="15"/>
      <c r="QNR3" s="15"/>
      <c r="QNS3" s="15"/>
      <c r="QNT3" s="15"/>
      <c r="QNU3" s="15"/>
      <c r="QNV3" s="15"/>
      <c r="QNW3" s="15"/>
      <c r="QNX3" s="15"/>
      <c r="QNY3" s="15"/>
      <c r="QNZ3" s="15"/>
      <c r="QOA3" s="15"/>
      <c r="QOB3" s="15"/>
      <c r="QOC3" s="15"/>
      <c r="QOD3" s="15"/>
      <c r="QOE3" s="15"/>
      <c r="QOF3" s="15"/>
      <c r="QOG3" s="15"/>
      <c r="QOH3" s="15"/>
      <c r="QOI3" s="15"/>
      <c r="QOJ3" s="15"/>
      <c r="QOK3" s="15"/>
      <c r="QOL3" s="15"/>
      <c r="QOM3" s="15"/>
      <c r="QON3" s="15"/>
      <c r="QOO3" s="15"/>
      <c r="QOP3" s="15"/>
      <c r="QOQ3" s="15"/>
      <c r="QOR3" s="15"/>
      <c r="QOS3" s="15"/>
      <c r="QOT3" s="15"/>
      <c r="QOU3" s="15"/>
      <c r="QOV3" s="15"/>
      <c r="QOW3" s="15"/>
      <c r="QOX3" s="15"/>
      <c r="QOY3" s="15"/>
      <c r="QOZ3" s="15"/>
      <c r="QPA3" s="15"/>
      <c r="QPB3" s="15"/>
      <c r="QPC3" s="15"/>
      <c r="QPD3" s="15"/>
      <c r="QPE3" s="15"/>
      <c r="QPF3" s="15"/>
      <c r="QPG3" s="15"/>
      <c r="QPH3" s="15"/>
      <c r="QPI3" s="15"/>
      <c r="QPJ3" s="15"/>
      <c r="QPK3" s="15"/>
      <c r="QPL3" s="15"/>
      <c r="QPM3" s="15"/>
      <c r="QPN3" s="15"/>
      <c r="QPO3" s="15"/>
      <c r="QPP3" s="15"/>
      <c r="QPQ3" s="15"/>
      <c r="QPR3" s="15"/>
      <c r="QPS3" s="15"/>
      <c r="QPT3" s="15"/>
      <c r="QPU3" s="15"/>
      <c r="QPV3" s="15"/>
      <c r="QPW3" s="15"/>
      <c r="QPX3" s="15"/>
      <c r="QPY3" s="15"/>
      <c r="QPZ3" s="15"/>
      <c r="QQA3" s="15"/>
      <c r="QQB3" s="15"/>
      <c r="QQC3" s="15"/>
      <c r="QQD3" s="15"/>
      <c r="QQE3" s="15"/>
      <c r="QQF3" s="15"/>
      <c r="QQG3" s="15"/>
      <c r="QQH3" s="15"/>
      <c r="QQI3" s="15"/>
      <c r="QQJ3" s="15"/>
      <c r="QQK3" s="15"/>
      <c r="QQL3" s="15"/>
      <c r="QQM3" s="15"/>
      <c r="QQN3" s="15"/>
      <c r="QQO3" s="15"/>
      <c r="QQP3" s="15"/>
      <c r="QQQ3" s="15"/>
      <c r="QQR3" s="15"/>
      <c r="QQS3" s="15"/>
      <c r="QQT3" s="15"/>
      <c r="QQU3" s="15"/>
      <c r="QQV3" s="15"/>
      <c r="QQW3" s="15"/>
      <c r="QQX3" s="15"/>
      <c r="QQY3" s="15"/>
      <c r="QQZ3" s="15"/>
      <c r="QRA3" s="15"/>
      <c r="QRB3" s="15"/>
      <c r="QRC3" s="15"/>
      <c r="QRD3" s="15"/>
      <c r="QRE3" s="15"/>
      <c r="QRF3" s="15"/>
      <c r="QRG3" s="15"/>
      <c r="QRH3" s="15"/>
      <c r="QRI3" s="15"/>
      <c r="QRJ3" s="15"/>
      <c r="QRK3" s="15"/>
      <c r="QRL3" s="15"/>
      <c r="QRM3" s="15"/>
      <c r="QRN3" s="15"/>
      <c r="QRO3" s="15"/>
      <c r="QRP3" s="15"/>
      <c r="QRQ3" s="15"/>
      <c r="QRR3" s="15"/>
      <c r="QRS3" s="15"/>
      <c r="QRT3" s="15"/>
      <c r="QRU3" s="15"/>
      <c r="QRV3" s="15"/>
      <c r="QRW3" s="15"/>
      <c r="QRX3" s="15"/>
      <c r="QRY3" s="15"/>
      <c r="QRZ3" s="15"/>
      <c r="QSA3" s="15"/>
      <c r="QSB3" s="15"/>
      <c r="QSC3" s="15"/>
      <c r="QSD3" s="15"/>
      <c r="QSE3" s="15"/>
      <c r="QSF3" s="15"/>
      <c r="QSG3" s="15"/>
      <c r="QSH3" s="15"/>
      <c r="QSI3" s="15"/>
      <c r="QSJ3" s="15"/>
      <c r="QSK3" s="15"/>
      <c r="QSL3" s="15"/>
      <c r="QSM3" s="15"/>
      <c r="QSN3" s="15"/>
      <c r="QSO3" s="15"/>
      <c r="QSP3" s="15"/>
      <c r="QSQ3" s="15"/>
      <c r="QSR3" s="15"/>
      <c r="QSS3" s="15"/>
      <c r="QST3" s="15"/>
      <c r="QSU3" s="15"/>
      <c r="QSV3" s="15"/>
      <c r="QSW3" s="15"/>
      <c r="QSX3" s="15"/>
      <c r="QSY3" s="15"/>
      <c r="QSZ3" s="15"/>
      <c r="QTA3" s="15"/>
      <c r="QTB3" s="15"/>
      <c r="QTC3" s="15"/>
      <c r="QTD3" s="15"/>
      <c r="QTE3" s="15"/>
      <c r="QTF3" s="15"/>
      <c r="QTG3" s="15"/>
      <c r="QTH3" s="15"/>
      <c r="QTI3" s="15"/>
      <c r="QTJ3" s="15"/>
      <c r="QTK3" s="15"/>
      <c r="QTL3" s="15"/>
      <c r="QTM3" s="15"/>
      <c r="QTN3" s="15"/>
      <c r="QTO3" s="15"/>
      <c r="QTP3" s="15"/>
      <c r="QTQ3" s="15"/>
      <c r="QTR3" s="15"/>
      <c r="QTS3" s="15"/>
      <c r="QTT3" s="15"/>
      <c r="QTU3" s="15"/>
      <c r="QTV3" s="15"/>
      <c r="QTW3" s="15"/>
      <c r="QTX3" s="15"/>
      <c r="QTY3" s="15"/>
      <c r="QTZ3" s="15"/>
      <c r="QUA3" s="15"/>
      <c r="QUB3" s="15"/>
      <c r="QUC3" s="15"/>
      <c r="QUD3" s="15"/>
      <c r="QUE3" s="15"/>
      <c r="QUF3" s="15"/>
      <c r="QUG3" s="15"/>
      <c r="QUH3" s="15"/>
      <c r="QUI3" s="15"/>
      <c r="QUJ3" s="15"/>
      <c r="QUK3" s="15"/>
      <c r="QUL3" s="15"/>
      <c r="QUM3" s="15"/>
      <c r="QUN3" s="15"/>
      <c r="QUO3" s="15"/>
      <c r="QUP3" s="15"/>
      <c r="QUQ3" s="15"/>
      <c r="QUR3" s="15"/>
      <c r="QUS3" s="15"/>
      <c r="QUT3" s="15"/>
      <c r="QUU3" s="15"/>
      <c r="QUV3" s="15"/>
      <c r="QUW3" s="15"/>
      <c r="QUX3" s="15"/>
      <c r="QUY3" s="15"/>
      <c r="QUZ3" s="15"/>
      <c r="QVA3" s="15"/>
      <c r="QVB3" s="15"/>
      <c r="QVC3" s="15"/>
      <c r="QVD3" s="15"/>
      <c r="QVE3" s="15"/>
      <c r="QVF3" s="15"/>
      <c r="QVG3" s="15"/>
      <c r="QVH3" s="15"/>
      <c r="QVI3" s="15"/>
      <c r="QVJ3" s="15"/>
      <c r="QVK3" s="15"/>
      <c r="QVL3" s="15"/>
      <c r="QVM3" s="15"/>
      <c r="QVN3" s="15"/>
      <c r="QVO3" s="15"/>
      <c r="QVP3" s="15"/>
      <c r="QVQ3" s="15"/>
      <c r="QVR3" s="15"/>
      <c r="QVS3" s="15"/>
      <c r="QVT3" s="15"/>
      <c r="QVU3" s="15"/>
      <c r="QVV3" s="15"/>
      <c r="QVW3" s="15"/>
      <c r="QVX3" s="15"/>
      <c r="QVY3" s="15"/>
      <c r="QVZ3" s="15"/>
      <c r="QWA3" s="15"/>
      <c r="QWB3" s="15"/>
      <c r="QWC3" s="15"/>
      <c r="QWD3" s="15"/>
      <c r="QWE3" s="15"/>
      <c r="QWF3" s="15"/>
      <c r="QWG3" s="15"/>
      <c r="QWH3" s="15"/>
      <c r="QWI3" s="15"/>
      <c r="QWJ3" s="15"/>
      <c r="QWK3" s="15"/>
      <c r="QWL3" s="15"/>
      <c r="QWM3" s="15"/>
      <c r="QWN3" s="15"/>
      <c r="QWO3" s="15"/>
      <c r="QWP3" s="15"/>
      <c r="QWQ3" s="15"/>
      <c r="QWR3" s="15"/>
      <c r="QWS3" s="15"/>
      <c r="QWT3" s="15"/>
      <c r="QWU3" s="15"/>
      <c r="QWV3" s="15"/>
      <c r="QWW3" s="15"/>
      <c r="QWX3" s="15"/>
      <c r="QWY3" s="15"/>
      <c r="QWZ3" s="15"/>
      <c r="QXA3" s="15"/>
      <c r="QXB3" s="15"/>
      <c r="QXC3" s="15"/>
      <c r="QXD3" s="15"/>
      <c r="QXE3" s="15"/>
      <c r="QXF3" s="15"/>
      <c r="QXG3" s="15"/>
      <c r="QXH3" s="15"/>
      <c r="QXI3" s="15"/>
      <c r="QXJ3" s="15"/>
      <c r="QXK3" s="15"/>
      <c r="QXL3" s="15"/>
      <c r="QXM3" s="15"/>
      <c r="QXN3" s="15"/>
      <c r="QXO3" s="15"/>
      <c r="QXP3" s="15"/>
      <c r="QXQ3" s="15"/>
      <c r="QXR3" s="15"/>
      <c r="QXS3" s="15"/>
      <c r="QXT3" s="15"/>
      <c r="QXU3" s="15"/>
      <c r="QXV3" s="15"/>
      <c r="QXW3" s="15"/>
      <c r="QXX3" s="15"/>
      <c r="QXY3" s="15"/>
      <c r="QXZ3" s="15"/>
      <c r="QYA3" s="15"/>
      <c r="QYB3" s="15"/>
      <c r="QYC3" s="15"/>
      <c r="QYD3" s="15"/>
      <c r="QYE3" s="15"/>
      <c r="QYF3" s="15"/>
      <c r="QYG3" s="15"/>
      <c r="QYH3" s="15"/>
      <c r="QYI3" s="15"/>
      <c r="QYJ3" s="15"/>
      <c r="QYK3" s="15"/>
      <c r="QYL3" s="15"/>
      <c r="QYM3" s="15"/>
      <c r="QYN3" s="15"/>
      <c r="QYO3" s="15"/>
      <c r="QYP3" s="15"/>
      <c r="QYQ3" s="15"/>
      <c r="QYR3" s="15"/>
      <c r="QYS3" s="15"/>
      <c r="QYT3" s="15"/>
      <c r="QYU3" s="15"/>
      <c r="QYV3" s="15"/>
      <c r="QYW3" s="15"/>
      <c r="QYX3" s="15"/>
      <c r="QYY3" s="15"/>
      <c r="QYZ3" s="15"/>
      <c r="QZA3" s="15"/>
      <c r="QZB3" s="15"/>
      <c r="QZC3" s="15"/>
      <c r="QZD3" s="15"/>
      <c r="QZE3" s="15"/>
      <c r="QZF3" s="15"/>
      <c r="QZG3" s="15"/>
      <c r="QZH3" s="15"/>
      <c r="QZI3" s="15"/>
      <c r="QZJ3" s="15"/>
      <c r="QZK3" s="15"/>
      <c r="QZL3" s="15"/>
      <c r="QZM3" s="15"/>
      <c r="QZN3" s="15"/>
      <c r="QZO3" s="15"/>
      <c r="QZP3" s="15"/>
      <c r="QZQ3" s="15"/>
      <c r="QZR3" s="15"/>
      <c r="QZS3" s="15"/>
      <c r="QZT3" s="15"/>
      <c r="QZU3" s="15"/>
      <c r="QZV3" s="15"/>
      <c r="QZW3" s="15"/>
      <c r="QZX3" s="15"/>
      <c r="QZY3" s="15"/>
      <c r="QZZ3" s="15"/>
      <c r="RAA3" s="15"/>
      <c r="RAB3" s="15"/>
      <c r="RAC3" s="15"/>
      <c r="RAD3" s="15"/>
      <c r="RAE3" s="15"/>
      <c r="RAF3" s="15"/>
      <c r="RAG3" s="15"/>
      <c r="RAH3" s="15"/>
      <c r="RAI3" s="15"/>
      <c r="RAJ3" s="15"/>
      <c r="RAK3" s="15"/>
      <c r="RAL3" s="15"/>
      <c r="RAM3" s="15"/>
      <c r="RAN3" s="15"/>
      <c r="RAO3" s="15"/>
      <c r="RAP3" s="15"/>
      <c r="RAQ3" s="15"/>
      <c r="RAR3" s="15"/>
      <c r="RAS3" s="15"/>
      <c r="RAT3" s="15"/>
      <c r="RAU3" s="15"/>
      <c r="RAV3" s="15"/>
      <c r="RAW3" s="15"/>
      <c r="RAX3" s="15"/>
      <c r="RAY3" s="15"/>
      <c r="RAZ3" s="15"/>
      <c r="RBA3" s="15"/>
      <c r="RBB3" s="15"/>
      <c r="RBC3" s="15"/>
      <c r="RBD3" s="15"/>
      <c r="RBE3" s="15"/>
      <c r="RBF3" s="15"/>
      <c r="RBG3" s="15"/>
      <c r="RBH3" s="15"/>
      <c r="RBI3" s="15"/>
      <c r="RBJ3" s="15"/>
      <c r="RBK3" s="15"/>
      <c r="RBL3" s="15"/>
      <c r="RBM3" s="15"/>
      <c r="RBN3" s="15"/>
      <c r="RBO3" s="15"/>
      <c r="RBP3" s="15"/>
      <c r="RBQ3" s="15"/>
      <c r="RBR3" s="15"/>
      <c r="RBS3" s="15"/>
      <c r="RBT3" s="15"/>
      <c r="RBU3" s="15"/>
      <c r="RBV3" s="15"/>
      <c r="RBW3" s="15"/>
      <c r="RBX3" s="15"/>
      <c r="RBY3" s="15"/>
      <c r="RBZ3" s="15"/>
      <c r="RCA3" s="15"/>
      <c r="RCB3" s="15"/>
      <c r="RCC3" s="15"/>
      <c r="RCD3" s="15"/>
      <c r="RCE3" s="15"/>
      <c r="RCF3" s="15"/>
      <c r="RCG3" s="15"/>
      <c r="RCH3" s="15"/>
      <c r="RCI3" s="15"/>
      <c r="RCJ3" s="15"/>
      <c r="RCK3" s="15"/>
      <c r="RCL3" s="15"/>
      <c r="RCM3" s="15"/>
      <c r="RCN3" s="15"/>
      <c r="RCO3" s="15"/>
      <c r="RCP3" s="15"/>
      <c r="RCQ3" s="15"/>
      <c r="RCR3" s="15"/>
      <c r="RCS3" s="15"/>
      <c r="RCT3" s="15"/>
      <c r="RCU3" s="15"/>
      <c r="RCV3" s="15"/>
      <c r="RCW3" s="15"/>
      <c r="RCX3" s="15"/>
      <c r="RCY3" s="15"/>
      <c r="RCZ3" s="15"/>
      <c r="RDA3" s="15"/>
      <c r="RDB3" s="15"/>
      <c r="RDC3" s="15"/>
      <c r="RDD3" s="15"/>
      <c r="RDE3" s="15"/>
      <c r="RDF3" s="15"/>
      <c r="RDG3" s="15"/>
      <c r="RDH3" s="15"/>
      <c r="RDI3" s="15"/>
      <c r="RDJ3" s="15"/>
      <c r="RDK3" s="15"/>
      <c r="RDL3" s="15"/>
      <c r="RDM3" s="15"/>
      <c r="RDN3" s="15"/>
      <c r="RDO3" s="15"/>
      <c r="RDP3" s="15"/>
      <c r="RDQ3" s="15"/>
      <c r="RDR3" s="15"/>
      <c r="RDS3" s="15"/>
      <c r="RDT3" s="15"/>
      <c r="RDU3" s="15"/>
      <c r="RDV3" s="15"/>
      <c r="RDW3" s="15"/>
      <c r="RDX3" s="15"/>
      <c r="RDY3" s="15"/>
      <c r="RDZ3" s="15"/>
      <c r="REA3" s="15"/>
      <c r="REB3" s="15"/>
      <c r="REC3" s="15"/>
      <c r="RED3" s="15"/>
      <c r="REE3" s="15"/>
      <c r="REF3" s="15"/>
      <c r="REG3" s="15"/>
      <c r="REH3" s="15"/>
      <c r="REI3" s="15"/>
      <c r="REJ3" s="15"/>
      <c r="REK3" s="15"/>
      <c r="REL3" s="15"/>
      <c r="REM3" s="15"/>
      <c r="REN3" s="15"/>
      <c r="REO3" s="15"/>
      <c r="REP3" s="15"/>
      <c r="REQ3" s="15"/>
      <c r="RER3" s="15"/>
      <c r="RES3" s="15"/>
      <c r="RET3" s="15"/>
      <c r="REU3" s="15"/>
      <c r="REV3" s="15"/>
      <c r="REW3" s="15"/>
      <c r="REX3" s="15"/>
      <c r="REY3" s="15"/>
      <c r="REZ3" s="15"/>
      <c r="RFA3" s="15"/>
      <c r="RFB3" s="15"/>
      <c r="RFC3" s="15"/>
      <c r="RFD3" s="15"/>
      <c r="RFE3" s="15"/>
      <c r="RFF3" s="15"/>
      <c r="RFG3" s="15"/>
      <c r="RFH3" s="15"/>
      <c r="RFI3" s="15"/>
      <c r="RFJ3" s="15"/>
      <c r="RFK3" s="15"/>
      <c r="RFL3" s="15"/>
      <c r="RFM3" s="15"/>
      <c r="RFN3" s="15"/>
      <c r="RFO3" s="15"/>
      <c r="RFP3" s="15"/>
      <c r="RFQ3" s="15"/>
      <c r="RFR3" s="15"/>
      <c r="RFS3" s="15"/>
      <c r="RFT3" s="15"/>
      <c r="RFU3" s="15"/>
      <c r="RFV3" s="15"/>
      <c r="RFW3" s="15"/>
      <c r="RFX3" s="15"/>
      <c r="RFY3" s="15"/>
      <c r="RFZ3" s="15"/>
      <c r="RGA3" s="15"/>
      <c r="RGB3" s="15"/>
      <c r="RGC3" s="15"/>
      <c r="RGD3" s="15"/>
      <c r="RGE3" s="15"/>
      <c r="RGF3" s="15"/>
      <c r="RGG3" s="15"/>
      <c r="RGH3" s="15"/>
      <c r="RGI3" s="15"/>
      <c r="RGJ3" s="15"/>
      <c r="RGK3" s="15"/>
      <c r="RGL3" s="15"/>
      <c r="RGM3" s="15"/>
      <c r="RGN3" s="15"/>
      <c r="RGO3" s="15"/>
      <c r="RGP3" s="15"/>
      <c r="RGQ3" s="15"/>
      <c r="RGR3" s="15"/>
      <c r="RGS3" s="15"/>
      <c r="RGT3" s="15"/>
      <c r="RGU3" s="15"/>
      <c r="RGV3" s="15"/>
      <c r="RGW3" s="15"/>
      <c r="RGX3" s="15"/>
      <c r="RGY3" s="15"/>
      <c r="RGZ3" s="15"/>
      <c r="RHA3" s="15"/>
      <c r="RHB3" s="15"/>
      <c r="RHC3" s="15"/>
      <c r="RHD3" s="15"/>
      <c r="RHE3" s="15"/>
      <c r="RHF3" s="15"/>
      <c r="RHG3" s="15"/>
      <c r="RHH3" s="15"/>
      <c r="RHI3" s="15"/>
      <c r="RHJ3" s="15"/>
      <c r="RHK3" s="15"/>
      <c r="RHL3" s="15"/>
      <c r="RHM3" s="15"/>
      <c r="RHN3" s="15"/>
      <c r="RHO3" s="15"/>
      <c r="RHP3" s="15"/>
      <c r="RHQ3" s="15"/>
      <c r="RHR3" s="15"/>
      <c r="RHS3" s="15"/>
      <c r="RHT3" s="15"/>
      <c r="RHU3" s="15"/>
      <c r="RHV3" s="15"/>
      <c r="RHW3" s="15"/>
      <c r="RHX3" s="15"/>
      <c r="RHY3" s="15"/>
      <c r="RHZ3" s="15"/>
      <c r="RIA3" s="15"/>
      <c r="RIB3" s="15"/>
      <c r="RIC3" s="15"/>
      <c r="RID3" s="15"/>
      <c r="RIE3" s="15"/>
      <c r="RIF3" s="15"/>
      <c r="RIG3" s="15"/>
      <c r="RIH3" s="15"/>
      <c r="RII3" s="15"/>
      <c r="RIJ3" s="15"/>
      <c r="RIK3" s="15"/>
      <c r="RIL3" s="15"/>
      <c r="RIM3" s="15"/>
      <c r="RIN3" s="15"/>
      <c r="RIO3" s="15"/>
      <c r="RIP3" s="15"/>
      <c r="RIQ3" s="15"/>
      <c r="RIR3" s="15"/>
      <c r="RIS3" s="15"/>
      <c r="RIT3" s="15"/>
      <c r="RIU3" s="15"/>
      <c r="RIV3" s="15"/>
      <c r="RIW3" s="15"/>
      <c r="RIX3" s="15"/>
      <c r="RIY3" s="15"/>
      <c r="RIZ3" s="15"/>
      <c r="RJA3" s="15"/>
      <c r="RJB3" s="15"/>
      <c r="RJC3" s="15"/>
      <c r="RJD3" s="15"/>
      <c r="RJE3" s="15"/>
      <c r="RJF3" s="15"/>
      <c r="RJG3" s="15"/>
      <c r="RJH3" s="15"/>
      <c r="RJI3" s="15"/>
      <c r="RJJ3" s="15"/>
      <c r="RJK3" s="15"/>
      <c r="RJL3" s="15"/>
      <c r="RJM3" s="15"/>
      <c r="RJN3" s="15"/>
      <c r="RJO3" s="15"/>
      <c r="RJP3" s="15"/>
      <c r="RJQ3" s="15"/>
      <c r="RJR3" s="15"/>
      <c r="RJS3" s="15"/>
      <c r="RJT3" s="15"/>
      <c r="RJU3" s="15"/>
      <c r="RJV3" s="15"/>
      <c r="RJW3" s="15"/>
      <c r="RJX3" s="15"/>
      <c r="RJY3" s="15"/>
      <c r="RJZ3" s="15"/>
      <c r="RKA3" s="15"/>
      <c r="RKB3" s="15"/>
      <c r="RKC3" s="15"/>
      <c r="RKD3" s="15"/>
      <c r="RKE3" s="15"/>
      <c r="RKF3" s="15"/>
      <c r="RKG3" s="15"/>
      <c r="RKH3" s="15"/>
      <c r="RKI3" s="15"/>
      <c r="RKJ3" s="15"/>
      <c r="RKK3" s="15"/>
      <c r="RKL3" s="15"/>
      <c r="RKM3" s="15"/>
      <c r="RKN3" s="15"/>
      <c r="RKO3" s="15"/>
      <c r="RKP3" s="15"/>
      <c r="RKQ3" s="15"/>
      <c r="RKR3" s="15"/>
      <c r="RKS3" s="15"/>
      <c r="RKT3" s="15"/>
      <c r="RKU3" s="15"/>
      <c r="RKV3" s="15"/>
      <c r="RKW3" s="15"/>
      <c r="RKX3" s="15"/>
      <c r="RKY3" s="15"/>
      <c r="RKZ3" s="15"/>
      <c r="RLA3" s="15"/>
      <c r="RLB3" s="15"/>
      <c r="RLC3" s="15"/>
      <c r="RLD3" s="15"/>
      <c r="RLE3" s="15"/>
      <c r="RLF3" s="15"/>
      <c r="RLG3" s="15"/>
      <c r="RLH3" s="15"/>
      <c r="RLI3" s="15"/>
      <c r="RLJ3" s="15"/>
      <c r="RLK3" s="15"/>
      <c r="RLL3" s="15"/>
      <c r="RLM3" s="15"/>
      <c r="RLN3" s="15"/>
      <c r="RLO3" s="15"/>
      <c r="RLP3" s="15"/>
      <c r="RLQ3" s="15"/>
      <c r="RLR3" s="15"/>
      <c r="RLS3" s="15"/>
      <c r="RLT3" s="15"/>
      <c r="RLU3" s="15"/>
      <c r="RLV3" s="15"/>
      <c r="RLW3" s="15"/>
      <c r="RLX3" s="15"/>
      <c r="RLY3" s="15"/>
      <c r="RLZ3" s="15"/>
      <c r="RMA3" s="15"/>
      <c r="RMB3" s="15"/>
      <c r="RMC3" s="15"/>
      <c r="RMD3" s="15"/>
      <c r="RME3" s="15"/>
      <c r="RMF3" s="15"/>
      <c r="RMG3" s="15"/>
      <c r="RMH3" s="15"/>
      <c r="RMI3" s="15"/>
      <c r="RMJ3" s="15"/>
      <c r="RMK3" s="15"/>
      <c r="RML3" s="15"/>
      <c r="RMM3" s="15"/>
      <c r="RMN3" s="15"/>
      <c r="RMO3" s="15"/>
      <c r="RMP3" s="15"/>
      <c r="RMQ3" s="15"/>
      <c r="RMR3" s="15"/>
      <c r="RMS3" s="15"/>
      <c r="RMT3" s="15"/>
      <c r="RMU3" s="15"/>
      <c r="RMV3" s="15"/>
      <c r="RMW3" s="15"/>
      <c r="RMX3" s="15"/>
      <c r="RMY3" s="15"/>
      <c r="RMZ3" s="15"/>
      <c r="RNA3" s="15"/>
      <c r="RNB3" s="15"/>
      <c r="RNC3" s="15"/>
      <c r="RND3" s="15"/>
      <c r="RNE3" s="15"/>
      <c r="RNF3" s="15"/>
      <c r="RNG3" s="15"/>
      <c r="RNH3" s="15"/>
      <c r="RNI3" s="15"/>
      <c r="RNJ3" s="15"/>
      <c r="RNK3" s="15"/>
      <c r="RNL3" s="15"/>
      <c r="RNM3" s="15"/>
      <c r="RNN3" s="15"/>
      <c r="RNO3" s="15"/>
      <c r="RNP3" s="15"/>
      <c r="RNQ3" s="15"/>
      <c r="RNR3" s="15"/>
      <c r="RNS3" s="15"/>
      <c r="RNT3" s="15"/>
      <c r="RNU3" s="15"/>
      <c r="RNV3" s="15"/>
      <c r="RNW3" s="15"/>
      <c r="RNX3" s="15"/>
      <c r="RNY3" s="15"/>
      <c r="RNZ3" s="15"/>
      <c r="ROA3" s="15"/>
      <c r="ROB3" s="15"/>
      <c r="ROC3" s="15"/>
      <c r="ROD3" s="15"/>
      <c r="ROE3" s="15"/>
      <c r="ROF3" s="15"/>
      <c r="ROG3" s="15"/>
      <c r="ROH3" s="15"/>
      <c r="ROI3" s="15"/>
      <c r="ROJ3" s="15"/>
      <c r="ROK3" s="15"/>
      <c r="ROL3" s="15"/>
      <c r="ROM3" s="15"/>
      <c r="RON3" s="15"/>
      <c r="ROO3" s="15"/>
      <c r="ROP3" s="15"/>
      <c r="ROQ3" s="15"/>
      <c r="ROR3" s="15"/>
      <c r="ROS3" s="15"/>
      <c r="ROT3" s="15"/>
      <c r="ROU3" s="15"/>
      <c r="ROV3" s="15"/>
      <c r="ROW3" s="15"/>
      <c r="ROX3" s="15"/>
      <c r="ROY3" s="15"/>
      <c r="ROZ3" s="15"/>
      <c r="RPA3" s="15"/>
      <c r="RPB3" s="15"/>
      <c r="RPC3" s="15"/>
      <c r="RPD3" s="15"/>
      <c r="RPE3" s="15"/>
      <c r="RPF3" s="15"/>
      <c r="RPG3" s="15"/>
      <c r="RPH3" s="15"/>
      <c r="RPI3" s="15"/>
      <c r="RPJ3" s="15"/>
      <c r="RPK3" s="15"/>
      <c r="RPL3" s="15"/>
      <c r="RPM3" s="15"/>
      <c r="RPN3" s="15"/>
      <c r="RPO3" s="15"/>
      <c r="RPP3" s="15"/>
      <c r="RPQ3" s="15"/>
      <c r="RPR3" s="15"/>
      <c r="RPS3" s="15"/>
      <c r="RPT3" s="15"/>
      <c r="RPU3" s="15"/>
      <c r="RPV3" s="15"/>
      <c r="RPW3" s="15"/>
      <c r="RPX3" s="15"/>
      <c r="RPY3" s="15"/>
      <c r="RPZ3" s="15"/>
      <c r="RQA3" s="15"/>
      <c r="RQB3" s="15"/>
      <c r="RQC3" s="15"/>
      <c r="RQD3" s="15"/>
      <c r="RQE3" s="15"/>
      <c r="RQF3" s="15"/>
      <c r="RQG3" s="15"/>
      <c r="RQH3" s="15"/>
      <c r="RQI3" s="15"/>
      <c r="RQJ3" s="15"/>
      <c r="RQK3" s="15"/>
      <c r="RQL3" s="15"/>
      <c r="RQM3" s="15"/>
      <c r="RQN3" s="15"/>
      <c r="RQO3" s="15"/>
      <c r="RQP3" s="15"/>
      <c r="RQQ3" s="15"/>
      <c r="RQR3" s="15"/>
      <c r="RQS3" s="15"/>
      <c r="RQT3" s="15"/>
      <c r="RQU3" s="15"/>
      <c r="RQV3" s="15"/>
      <c r="RQW3" s="15"/>
      <c r="RQX3" s="15"/>
      <c r="RQY3" s="15"/>
      <c r="RQZ3" s="15"/>
      <c r="RRA3" s="15"/>
      <c r="RRB3" s="15"/>
      <c r="RRC3" s="15"/>
      <c r="RRD3" s="15"/>
      <c r="RRE3" s="15"/>
      <c r="RRF3" s="15"/>
      <c r="RRG3" s="15"/>
      <c r="RRH3" s="15"/>
      <c r="RRI3" s="15"/>
      <c r="RRJ3" s="15"/>
      <c r="RRK3" s="15"/>
      <c r="RRL3" s="15"/>
      <c r="RRM3" s="15"/>
      <c r="RRN3" s="15"/>
      <c r="RRO3" s="15"/>
      <c r="RRP3" s="15"/>
      <c r="RRQ3" s="15"/>
      <c r="RRR3" s="15"/>
      <c r="RRS3" s="15"/>
      <c r="RRT3" s="15"/>
      <c r="RRU3" s="15"/>
      <c r="RRV3" s="15"/>
      <c r="RRW3" s="15"/>
      <c r="RRX3" s="15"/>
      <c r="RRY3" s="15"/>
      <c r="RRZ3" s="15"/>
      <c r="RSA3" s="15"/>
      <c r="RSB3" s="15"/>
      <c r="RSC3" s="15"/>
      <c r="RSD3" s="15"/>
      <c r="RSE3" s="15"/>
      <c r="RSF3" s="15"/>
      <c r="RSG3" s="15"/>
      <c r="RSH3" s="15"/>
      <c r="RSI3" s="15"/>
      <c r="RSJ3" s="15"/>
      <c r="RSK3" s="15"/>
      <c r="RSL3" s="15"/>
      <c r="RSM3" s="15"/>
      <c r="RSN3" s="15"/>
      <c r="RSO3" s="15"/>
      <c r="RSP3" s="15"/>
      <c r="RSQ3" s="15"/>
      <c r="RSR3" s="15"/>
      <c r="RSS3" s="15"/>
      <c r="RST3" s="15"/>
      <c r="RSU3" s="15"/>
      <c r="RSV3" s="15"/>
      <c r="RSW3" s="15"/>
      <c r="RSX3" s="15"/>
      <c r="RSY3" s="15"/>
      <c r="RSZ3" s="15"/>
      <c r="RTA3" s="15"/>
      <c r="RTB3" s="15"/>
      <c r="RTC3" s="15"/>
      <c r="RTD3" s="15"/>
      <c r="RTE3" s="15"/>
      <c r="RTF3" s="15"/>
      <c r="RTG3" s="15"/>
      <c r="RTH3" s="15"/>
      <c r="RTI3" s="15"/>
      <c r="RTJ3" s="15"/>
      <c r="RTK3" s="15"/>
      <c r="RTL3" s="15"/>
      <c r="RTM3" s="15"/>
      <c r="RTN3" s="15"/>
      <c r="RTO3" s="15"/>
      <c r="RTP3" s="15"/>
      <c r="RTQ3" s="15"/>
      <c r="RTR3" s="15"/>
      <c r="RTS3" s="15"/>
      <c r="RTT3" s="15"/>
      <c r="RTU3" s="15"/>
      <c r="RTV3" s="15"/>
      <c r="RTW3" s="15"/>
      <c r="RTX3" s="15"/>
      <c r="RTY3" s="15"/>
      <c r="RTZ3" s="15"/>
      <c r="RUA3" s="15"/>
      <c r="RUB3" s="15"/>
      <c r="RUC3" s="15"/>
      <c r="RUD3" s="15"/>
      <c r="RUE3" s="15"/>
      <c r="RUF3" s="15"/>
      <c r="RUG3" s="15"/>
      <c r="RUH3" s="15"/>
      <c r="RUI3" s="15"/>
      <c r="RUJ3" s="15"/>
      <c r="RUK3" s="15"/>
      <c r="RUL3" s="15"/>
      <c r="RUM3" s="15"/>
      <c r="RUN3" s="15"/>
      <c r="RUO3" s="15"/>
      <c r="RUP3" s="15"/>
      <c r="RUQ3" s="15"/>
      <c r="RUR3" s="15"/>
      <c r="RUS3" s="15"/>
      <c r="RUT3" s="15"/>
      <c r="RUU3" s="15"/>
      <c r="RUV3" s="15"/>
      <c r="RUW3" s="15"/>
      <c r="RUX3" s="15"/>
      <c r="RUY3" s="15"/>
      <c r="RUZ3" s="15"/>
      <c r="RVA3" s="15"/>
      <c r="RVB3" s="15"/>
      <c r="RVC3" s="15"/>
      <c r="RVD3" s="15"/>
      <c r="RVE3" s="15"/>
      <c r="RVF3" s="15"/>
      <c r="RVG3" s="15"/>
      <c r="RVH3" s="15"/>
      <c r="RVI3" s="15"/>
      <c r="RVJ3" s="15"/>
      <c r="RVK3" s="15"/>
      <c r="RVL3" s="15"/>
      <c r="RVM3" s="15"/>
      <c r="RVN3" s="15"/>
      <c r="RVO3" s="15"/>
      <c r="RVP3" s="15"/>
      <c r="RVQ3" s="15"/>
      <c r="RVR3" s="15"/>
      <c r="RVS3" s="15"/>
      <c r="RVT3" s="15"/>
      <c r="RVU3" s="15"/>
      <c r="RVV3" s="15"/>
      <c r="RVW3" s="15"/>
      <c r="RVX3" s="15"/>
      <c r="RVY3" s="15"/>
      <c r="RVZ3" s="15"/>
      <c r="RWA3" s="15"/>
      <c r="RWB3" s="15"/>
      <c r="RWC3" s="15"/>
      <c r="RWD3" s="15"/>
      <c r="RWE3" s="15"/>
      <c r="RWF3" s="15"/>
      <c r="RWG3" s="15"/>
      <c r="RWH3" s="15"/>
      <c r="RWI3" s="15"/>
      <c r="RWJ3" s="15"/>
      <c r="RWK3" s="15"/>
      <c r="RWL3" s="15"/>
      <c r="RWM3" s="15"/>
      <c r="RWN3" s="15"/>
      <c r="RWO3" s="15"/>
      <c r="RWP3" s="15"/>
      <c r="RWQ3" s="15"/>
      <c r="RWR3" s="15"/>
      <c r="RWS3" s="15"/>
      <c r="RWT3" s="15"/>
      <c r="RWU3" s="15"/>
      <c r="RWV3" s="15"/>
      <c r="RWW3" s="15"/>
      <c r="RWX3" s="15"/>
      <c r="RWY3" s="15"/>
      <c r="RWZ3" s="15"/>
      <c r="RXA3" s="15"/>
      <c r="RXB3" s="15"/>
      <c r="RXC3" s="15"/>
      <c r="RXD3" s="15"/>
      <c r="RXE3" s="15"/>
      <c r="RXF3" s="15"/>
      <c r="RXG3" s="15"/>
      <c r="RXH3" s="15"/>
      <c r="RXI3" s="15"/>
      <c r="RXJ3" s="15"/>
      <c r="RXK3" s="15"/>
      <c r="RXL3" s="15"/>
      <c r="RXM3" s="15"/>
      <c r="RXN3" s="15"/>
      <c r="RXO3" s="15"/>
      <c r="RXP3" s="15"/>
      <c r="RXQ3" s="15"/>
      <c r="RXR3" s="15"/>
      <c r="RXS3" s="15"/>
      <c r="RXT3" s="15"/>
      <c r="RXU3" s="15"/>
      <c r="RXV3" s="15"/>
      <c r="RXW3" s="15"/>
      <c r="RXX3" s="15"/>
      <c r="RXY3" s="15"/>
      <c r="RXZ3" s="15"/>
      <c r="RYA3" s="15"/>
      <c r="RYB3" s="15"/>
      <c r="RYC3" s="15"/>
      <c r="RYD3" s="15"/>
      <c r="RYE3" s="15"/>
      <c r="RYF3" s="15"/>
      <c r="RYG3" s="15"/>
      <c r="RYH3" s="15"/>
      <c r="RYI3" s="15"/>
      <c r="RYJ3" s="15"/>
      <c r="RYK3" s="15"/>
      <c r="RYL3" s="15"/>
      <c r="RYM3" s="15"/>
      <c r="RYN3" s="15"/>
      <c r="RYO3" s="15"/>
      <c r="RYP3" s="15"/>
      <c r="RYQ3" s="15"/>
      <c r="RYR3" s="15"/>
      <c r="RYS3" s="15"/>
      <c r="RYT3" s="15"/>
      <c r="RYU3" s="15"/>
      <c r="RYV3" s="15"/>
      <c r="RYW3" s="15"/>
      <c r="RYX3" s="15"/>
      <c r="RYY3" s="15"/>
      <c r="RYZ3" s="15"/>
      <c r="RZA3" s="15"/>
      <c r="RZB3" s="15"/>
      <c r="RZC3" s="15"/>
      <c r="RZD3" s="15"/>
      <c r="RZE3" s="15"/>
      <c r="RZF3" s="15"/>
      <c r="RZG3" s="15"/>
      <c r="RZH3" s="15"/>
      <c r="RZI3" s="15"/>
      <c r="RZJ3" s="15"/>
      <c r="RZK3" s="15"/>
      <c r="RZL3" s="15"/>
      <c r="RZM3" s="15"/>
      <c r="RZN3" s="15"/>
      <c r="RZO3" s="15"/>
      <c r="RZP3" s="15"/>
      <c r="RZQ3" s="15"/>
      <c r="RZR3" s="15"/>
      <c r="RZS3" s="15"/>
      <c r="RZT3" s="15"/>
      <c r="RZU3" s="15"/>
      <c r="RZV3" s="15"/>
      <c r="RZW3" s="15"/>
      <c r="RZX3" s="15"/>
      <c r="RZY3" s="15"/>
      <c r="RZZ3" s="15"/>
      <c r="SAA3" s="15"/>
      <c r="SAB3" s="15"/>
      <c r="SAC3" s="15"/>
      <c r="SAD3" s="15"/>
      <c r="SAE3" s="15"/>
      <c r="SAF3" s="15"/>
      <c r="SAG3" s="15"/>
      <c r="SAH3" s="15"/>
      <c r="SAI3" s="15"/>
      <c r="SAJ3" s="15"/>
      <c r="SAK3" s="15"/>
      <c r="SAL3" s="15"/>
      <c r="SAM3" s="15"/>
      <c r="SAN3" s="15"/>
      <c r="SAO3" s="15"/>
      <c r="SAP3" s="15"/>
      <c r="SAQ3" s="15"/>
      <c r="SAR3" s="15"/>
      <c r="SAS3" s="15"/>
      <c r="SAT3" s="15"/>
      <c r="SAU3" s="15"/>
      <c r="SAV3" s="15"/>
      <c r="SAW3" s="15"/>
      <c r="SAX3" s="15"/>
      <c r="SAY3" s="15"/>
      <c r="SAZ3" s="15"/>
      <c r="SBA3" s="15"/>
      <c r="SBB3" s="15"/>
      <c r="SBC3" s="15"/>
      <c r="SBD3" s="15"/>
      <c r="SBE3" s="15"/>
      <c r="SBF3" s="15"/>
      <c r="SBG3" s="15"/>
      <c r="SBH3" s="15"/>
      <c r="SBI3" s="15"/>
      <c r="SBJ3" s="15"/>
      <c r="SBK3" s="15"/>
      <c r="SBL3" s="15"/>
      <c r="SBM3" s="15"/>
      <c r="SBN3" s="15"/>
      <c r="SBO3" s="15"/>
      <c r="SBP3" s="15"/>
      <c r="SBQ3" s="15"/>
      <c r="SBR3" s="15"/>
      <c r="SBS3" s="15"/>
      <c r="SBT3" s="15"/>
      <c r="SBU3" s="15"/>
      <c r="SBV3" s="15"/>
      <c r="SBW3" s="15"/>
      <c r="SBX3" s="15"/>
      <c r="SBY3" s="15"/>
      <c r="SBZ3" s="15"/>
      <c r="SCA3" s="15"/>
      <c r="SCB3" s="15"/>
      <c r="SCC3" s="15"/>
      <c r="SCD3" s="15"/>
      <c r="SCE3" s="15"/>
      <c r="SCF3" s="15"/>
      <c r="SCG3" s="15"/>
      <c r="SCH3" s="15"/>
      <c r="SCI3" s="15"/>
      <c r="SCJ3" s="15"/>
      <c r="SCK3" s="15"/>
      <c r="SCL3" s="15"/>
      <c r="SCM3" s="15"/>
      <c r="SCN3" s="15"/>
      <c r="SCO3" s="15"/>
      <c r="SCP3" s="15"/>
      <c r="SCQ3" s="15"/>
      <c r="SCR3" s="15"/>
      <c r="SCS3" s="15"/>
      <c r="SCT3" s="15"/>
      <c r="SCU3" s="15"/>
      <c r="SCV3" s="15"/>
      <c r="SCW3" s="15"/>
      <c r="SCX3" s="15"/>
      <c r="SCY3" s="15"/>
      <c r="SCZ3" s="15"/>
      <c r="SDA3" s="15"/>
      <c r="SDB3" s="15"/>
      <c r="SDC3" s="15"/>
      <c r="SDD3" s="15"/>
      <c r="SDE3" s="15"/>
      <c r="SDF3" s="15"/>
      <c r="SDG3" s="15"/>
      <c r="SDH3" s="15"/>
      <c r="SDI3" s="15"/>
      <c r="SDJ3" s="15"/>
      <c r="SDK3" s="15"/>
      <c r="SDL3" s="15"/>
      <c r="SDM3" s="15"/>
      <c r="SDN3" s="15"/>
      <c r="SDO3" s="15"/>
      <c r="SDP3" s="15"/>
      <c r="SDQ3" s="15"/>
      <c r="SDR3" s="15"/>
      <c r="SDS3" s="15"/>
      <c r="SDT3" s="15"/>
      <c r="SDU3" s="15"/>
      <c r="SDV3" s="15"/>
      <c r="SDW3" s="15"/>
      <c r="SDX3" s="15"/>
      <c r="SDY3" s="15"/>
      <c r="SDZ3" s="15"/>
      <c r="SEA3" s="15"/>
      <c r="SEB3" s="15"/>
      <c r="SEC3" s="15"/>
      <c r="SED3" s="15"/>
      <c r="SEE3" s="15"/>
      <c r="SEF3" s="15"/>
      <c r="SEG3" s="15"/>
      <c r="SEH3" s="15"/>
      <c r="SEI3" s="15"/>
      <c r="SEJ3" s="15"/>
      <c r="SEK3" s="15"/>
      <c r="SEL3" s="15"/>
      <c r="SEM3" s="15"/>
      <c r="SEN3" s="15"/>
      <c r="SEO3" s="15"/>
      <c r="SEP3" s="15"/>
      <c r="SEQ3" s="15"/>
      <c r="SER3" s="15"/>
      <c r="SES3" s="15"/>
      <c r="SET3" s="15"/>
      <c r="SEU3" s="15"/>
      <c r="SEV3" s="15"/>
      <c r="SEW3" s="15"/>
      <c r="SEX3" s="15"/>
      <c r="SEY3" s="15"/>
      <c r="SEZ3" s="15"/>
      <c r="SFA3" s="15"/>
      <c r="SFB3" s="15"/>
      <c r="SFC3" s="15"/>
      <c r="SFD3" s="15"/>
      <c r="SFE3" s="15"/>
      <c r="SFF3" s="15"/>
      <c r="SFG3" s="15"/>
      <c r="SFH3" s="15"/>
      <c r="SFI3" s="15"/>
      <c r="SFJ3" s="15"/>
      <c r="SFK3" s="15"/>
      <c r="SFL3" s="15"/>
      <c r="SFM3" s="15"/>
      <c r="SFN3" s="15"/>
      <c r="SFO3" s="15"/>
      <c r="SFP3" s="15"/>
      <c r="SFQ3" s="15"/>
      <c r="SFR3" s="15"/>
      <c r="SFS3" s="15"/>
      <c r="SFT3" s="15"/>
      <c r="SFU3" s="15"/>
      <c r="SFV3" s="15"/>
      <c r="SFW3" s="15"/>
      <c r="SFX3" s="15"/>
      <c r="SFY3" s="15"/>
      <c r="SFZ3" s="15"/>
      <c r="SGA3" s="15"/>
      <c r="SGB3" s="15"/>
      <c r="SGC3" s="15"/>
      <c r="SGD3" s="15"/>
      <c r="SGE3" s="15"/>
      <c r="SGF3" s="15"/>
      <c r="SGG3" s="15"/>
      <c r="SGH3" s="15"/>
      <c r="SGI3" s="15"/>
      <c r="SGJ3" s="15"/>
      <c r="SGK3" s="15"/>
      <c r="SGL3" s="15"/>
      <c r="SGM3" s="15"/>
      <c r="SGN3" s="15"/>
      <c r="SGO3" s="15"/>
      <c r="SGP3" s="15"/>
      <c r="SGQ3" s="15"/>
      <c r="SGR3" s="15"/>
      <c r="SGS3" s="15"/>
      <c r="SGT3" s="15"/>
      <c r="SGU3" s="15"/>
      <c r="SGV3" s="15"/>
      <c r="SGW3" s="15"/>
      <c r="SGX3" s="15"/>
      <c r="SGY3" s="15"/>
      <c r="SGZ3" s="15"/>
      <c r="SHA3" s="15"/>
      <c r="SHB3" s="15"/>
      <c r="SHC3" s="15"/>
      <c r="SHD3" s="15"/>
      <c r="SHE3" s="15"/>
      <c r="SHF3" s="15"/>
      <c r="SHG3" s="15"/>
      <c r="SHH3" s="15"/>
      <c r="SHI3" s="15"/>
      <c r="SHJ3" s="15"/>
      <c r="SHK3" s="15"/>
      <c r="SHL3" s="15"/>
      <c r="SHM3" s="15"/>
      <c r="SHN3" s="15"/>
      <c r="SHO3" s="15"/>
      <c r="SHP3" s="15"/>
      <c r="SHQ3" s="15"/>
      <c r="SHR3" s="15"/>
      <c r="SHS3" s="15"/>
      <c r="SHT3" s="15"/>
      <c r="SHU3" s="15"/>
      <c r="SHV3" s="15"/>
      <c r="SHW3" s="15"/>
      <c r="SHX3" s="15"/>
      <c r="SHY3" s="15"/>
      <c r="SHZ3" s="15"/>
      <c r="SIA3" s="15"/>
      <c r="SIB3" s="15"/>
      <c r="SIC3" s="15"/>
      <c r="SID3" s="15"/>
      <c r="SIE3" s="15"/>
      <c r="SIF3" s="15"/>
      <c r="SIG3" s="15"/>
      <c r="SIH3" s="15"/>
      <c r="SII3" s="15"/>
      <c r="SIJ3" s="15"/>
      <c r="SIK3" s="15"/>
      <c r="SIL3" s="15"/>
      <c r="SIM3" s="15"/>
      <c r="SIN3" s="15"/>
      <c r="SIO3" s="15"/>
      <c r="SIP3" s="15"/>
      <c r="SIQ3" s="15"/>
      <c r="SIR3" s="15"/>
      <c r="SIS3" s="15"/>
      <c r="SIT3" s="15"/>
      <c r="SIU3" s="15"/>
      <c r="SIV3" s="15"/>
      <c r="SIW3" s="15"/>
      <c r="SIX3" s="15"/>
      <c r="SIY3" s="15"/>
      <c r="SIZ3" s="15"/>
      <c r="SJA3" s="15"/>
      <c r="SJB3" s="15"/>
      <c r="SJC3" s="15"/>
      <c r="SJD3" s="15"/>
      <c r="SJE3" s="15"/>
      <c r="SJF3" s="15"/>
      <c r="SJG3" s="15"/>
      <c r="SJH3" s="15"/>
      <c r="SJI3" s="15"/>
      <c r="SJJ3" s="15"/>
      <c r="SJK3" s="15"/>
      <c r="SJL3" s="15"/>
      <c r="SJM3" s="15"/>
      <c r="SJN3" s="15"/>
      <c r="SJO3" s="15"/>
      <c r="SJP3" s="15"/>
      <c r="SJQ3" s="15"/>
      <c r="SJR3" s="15"/>
      <c r="SJS3" s="15"/>
      <c r="SJT3" s="15"/>
      <c r="SJU3" s="15"/>
      <c r="SJV3" s="15"/>
      <c r="SJW3" s="15"/>
      <c r="SJX3" s="15"/>
      <c r="SJY3" s="15"/>
      <c r="SJZ3" s="15"/>
      <c r="SKA3" s="15"/>
      <c r="SKB3" s="15"/>
      <c r="SKC3" s="15"/>
      <c r="SKD3" s="15"/>
      <c r="SKE3" s="15"/>
      <c r="SKF3" s="15"/>
      <c r="SKG3" s="15"/>
      <c r="SKH3" s="15"/>
      <c r="SKI3" s="15"/>
      <c r="SKJ3" s="15"/>
      <c r="SKK3" s="15"/>
      <c r="SKL3" s="15"/>
      <c r="SKM3" s="15"/>
      <c r="SKN3" s="15"/>
      <c r="SKO3" s="15"/>
      <c r="SKP3" s="15"/>
      <c r="SKQ3" s="15"/>
      <c r="SKR3" s="15"/>
      <c r="SKS3" s="15"/>
      <c r="SKT3" s="15"/>
      <c r="SKU3" s="15"/>
      <c r="SKV3" s="15"/>
      <c r="SKW3" s="15"/>
      <c r="SKX3" s="15"/>
      <c r="SKY3" s="15"/>
      <c r="SKZ3" s="15"/>
      <c r="SLA3" s="15"/>
      <c r="SLB3" s="15"/>
      <c r="SLC3" s="15"/>
      <c r="SLD3" s="15"/>
      <c r="SLE3" s="15"/>
      <c r="SLF3" s="15"/>
      <c r="SLG3" s="15"/>
      <c r="SLH3" s="15"/>
      <c r="SLI3" s="15"/>
      <c r="SLJ3" s="15"/>
      <c r="SLK3" s="15"/>
      <c r="SLL3" s="15"/>
      <c r="SLM3" s="15"/>
      <c r="SLN3" s="15"/>
      <c r="SLO3" s="15"/>
      <c r="SLP3" s="15"/>
      <c r="SLQ3" s="15"/>
      <c r="SLR3" s="15"/>
      <c r="SLS3" s="15"/>
      <c r="SLT3" s="15"/>
      <c r="SLU3" s="15"/>
      <c r="SLV3" s="15"/>
      <c r="SLW3" s="15"/>
      <c r="SLX3" s="15"/>
      <c r="SLY3" s="15"/>
      <c r="SLZ3" s="15"/>
      <c r="SMA3" s="15"/>
      <c r="SMB3" s="15"/>
      <c r="SMC3" s="15"/>
      <c r="SMD3" s="15"/>
      <c r="SME3" s="15"/>
      <c r="SMF3" s="15"/>
      <c r="SMG3" s="15"/>
      <c r="SMH3" s="15"/>
      <c r="SMI3" s="15"/>
      <c r="SMJ3" s="15"/>
      <c r="SMK3" s="15"/>
      <c r="SML3" s="15"/>
      <c r="SMM3" s="15"/>
      <c r="SMN3" s="15"/>
      <c r="SMO3" s="15"/>
      <c r="SMP3" s="15"/>
      <c r="SMQ3" s="15"/>
      <c r="SMR3" s="15"/>
      <c r="SMS3" s="15"/>
      <c r="SMT3" s="15"/>
      <c r="SMU3" s="15"/>
      <c r="SMV3" s="15"/>
      <c r="SMW3" s="15"/>
      <c r="SMX3" s="15"/>
      <c r="SMY3" s="15"/>
      <c r="SMZ3" s="15"/>
      <c r="SNA3" s="15"/>
      <c r="SNB3" s="15"/>
      <c r="SNC3" s="15"/>
      <c r="SND3" s="15"/>
      <c r="SNE3" s="15"/>
      <c r="SNF3" s="15"/>
      <c r="SNG3" s="15"/>
      <c r="SNH3" s="15"/>
      <c r="SNI3" s="15"/>
      <c r="SNJ3" s="15"/>
      <c r="SNK3" s="15"/>
      <c r="SNL3" s="15"/>
      <c r="SNM3" s="15"/>
      <c r="SNN3" s="15"/>
      <c r="SNO3" s="15"/>
      <c r="SNP3" s="15"/>
      <c r="SNQ3" s="15"/>
      <c r="SNR3" s="15"/>
      <c r="SNS3" s="15"/>
      <c r="SNT3" s="15"/>
      <c r="SNU3" s="15"/>
      <c r="SNV3" s="15"/>
      <c r="SNW3" s="15"/>
      <c r="SNX3" s="15"/>
      <c r="SNY3" s="15"/>
      <c r="SNZ3" s="15"/>
      <c r="SOA3" s="15"/>
      <c r="SOB3" s="15"/>
      <c r="SOC3" s="15"/>
      <c r="SOD3" s="15"/>
      <c r="SOE3" s="15"/>
      <c r="SOF3" s="15"/>
      <c r="SOG3" s="15"/>
      <c r="SOH3" s="15"/>
      <c r="SOI3" s="15"/>
      <c r="SOJ3" s="15"/>
      <c r="SOK3" s="15"/>
      <c r="SOL3" s="15"/>
      <c r="SOM3" s="15"/>
      <c r="SON3" s="15"/>
      <c r="SOO3" s="15"/>
      <c r="SOP3" s="15"/>
      <c r="SOQ3" s="15"/>
      <c r="SOR3" s="15"/>
      <c r="SOS3" s="15"/>
      <c r="SOT3" s="15"/>
      <c r="SOU3" s="15"/>
      <c r="SOV3" s="15"/>
      <c r="SOW3" s="15"/>
      <c r="SOX3" s="15"/>
      <c r="SOY3" s="15"/>
      <c r="SOZ3" s="15"/>
      <c r="SPA3" s="15"/>
      <c r="SPB3" s="15"/>
      <c r="SPC3" s="15"/>
      <c r="SPD3" s="15"/>
      <c r="SPE3" s="15"/>
      <c r="SPF3" s="15"/>
      <c r="SPG3" s="15"/>
      <c r="SPH3" s="15"/>
      <c r="SPI3" s="15"/>
      <c r="SPJ3" s="15"/>
      <c r="SPK3" s="15"/>
      <c r="SPL3" s="15"/>
      <c r="SPM3" s="15"/>
      <c r="SPN3" s="15"/>
      <c r="SPO3" s="15"/>
      <c r="SPP3" s="15"/>
      <c r="SPQ3" s="15"/>
      <c r="SPR3" s="15"/>
      <c r="SPS3" s="15"/>
      <c r="SPT3" s="15"/>
      <c r="SPU3" s="15"/>
      <c r="SPV3" s="15"/>
      <c r="SPW3" s="15"/>
      <c r="SPX3" s="15"/>
      <c r="SPY3" s="15"/>
      <c r="SPZ3" s="15"/>
      <c r="SQA3" s="15"/>
      <c r="SQB3" s="15"/>
      <c r="SQC3" s="15"/>
      <c r="SQD3" s="15"/>
      <c r="SQE3" s="15"/>
      <c r="SQF3" s="15"/>
      <c r="SQG3" s="15"/>
      <c r="SQH3" s="15"/>
      <c r="SQI3" s="15"/>
      <c r="SQJ3" s="15"/>
      <c r="SQK3" s="15"/>
      <c r="SQL3" s="15"/>
      <c r="SQM3" s="15"/>
      <c r="SQN3" s="15"/>
      <c r="SQO3" s="15"/>
      <c r="SQP3" s="15"/>
      <c r="SQQ3" s="15"/>
      <c r="SQR3" s="15"/>
      <c r="SQS3" s="15"/>
      <c r="SQT3" s="15"/>
      <c r="SQU3" s="15"/>
      <c r="SQV3" s="15"/>
      <c r="SQW3" s="15"/>
      <c r="SQX3" s="15"/>
      <c r="SQY3" s="15"/>
      <c r="SQZ3" s="15"/>
      <c r="SRA3" s="15"/>
      <c r="SRB3" s="15"/>
      <c r="SRC3" s="15"/>
      <c r="SRD3" s="15"/>
      <c r="SRE3" s="15"/>
      <c r="SRF3" s="15"/>
      <c r="SRG3" s="15"/>
      <c r="SRH3" s="15"/>
      <c r="SRI3" s="15"/>
      <c r="SRJ3" s="15"/>
      <c r="SRK3" s="15"/>
      <c r="SRL3" s="15"/>
      <c r="SRM3" s="15"/>
      <c r="SRN3" s="15"/>
      <c r="SRO3" s="15"/>
      <c r="SRP3" s="15"/>
      <c r="SRQ3" s="15"/>
      <c r="SRR3" s="15"/>
      <c r="SRS3" s="15"/>
      <c r="SRT3" s="15"/>
      <c r="SRU3" s="15"/>
      <c r="SRV3" s="15"/>
      <c r="SRW3" s="15"/>
      <c r="SRX3" s="15"/>
      <c r="SRY3" s="15"/>
      <c r="SRZ3" s="15"/>
      <c r="SSA3" s="15"/>
      <c r="SSB3" s="15"/>
      <c r="SSC3" s="15"/>
      <c r="SSD3" s="15"/>
      <c r="SSE3" s="15"/>
      <c r="SSF3" s="15"/>
      <c r="SSG3" s="15"/>
      <c r="SSH3" s="15"/>
      <c r="SSI3" s="15"/>
      <c r="SSJ3" s="15"/>
      <c r="SSK3" s="15"/>
      <c r="SSL3" s="15"/>
      <c r="SSM3" s="15"/>
      <c r="SSN3" s="15"/>
      <c r="SSO3" s="15"/>
      <c r="SSP3" s="15"/>
      <c r="SSQ3" s="15"/>
      <c r="SSR3" s="15"/>
      <c r="SSS3" s="15"/>
      <c r="SST3" s="15"/>
      <c r="SSU3" s="15"/>
      <c r="SSV3" s="15"/>
      <c r="SSW3" s="15"/>
      <c r="SSX3" s="15"/>
      <c r="SSY3" s="15"/>
      <c r="SSZ3" s="15"/>
      <c r="STA3" s="15"/>
      <c r="STB3" s="15"/>
      <c r="STC3" s="15"/>
      <c r="STD3" s="15"/>
      <c r="STE3" s="15"/>
      <c r="STF3" s="15"/>
      <c r="STG3" s="15"/>
      <c r="STH3" s="15"/>
      <c r="STI3" s="15"/>
      <c r="STJ3" s="15"/>
      <c r="STK3" s="15"/>
      <c r="STL3" s="15"/>
      <c r="STM3" s="15"/>
      <c r="STN3" s="15"/>
      <c r="STO3" s="15"/>
      <c r="STP3" s="15"/>
      <c r="STQ3" s="15"/>
      <c r="STR3" s="15"/>
      <c r="STS3" s="15"/>
      <c r="STT3" s="15"/>
      <c r="STU3" s="15"/>
      <c r="STV3" s="15"/>
      <c r="STW3" s="15"/>
      <c r="STX3" s="15"/>
      <c r="STY3" s="15"/>
      <c r="STZ3" s="15"/>
      <c r="SUA3" s="15"/>
      <c r="SUB3" s="15"/>
      <c r="SUC3" s="15"/>
      <c r="SUD3" s="15"/>
      <c r="SUE3" s="15"/>
      <c r="SUF3" s="15"/>
      <c r="SUG3" s="15"/>
      <c r="SUH3" s="15"/>
      <c r="SUI3" s="15"/>
      <c r="SUJ3" s="15"/>
      <c r="SUK3" s="15"/>
      <c r="SUL3" s="15"/>
      <c r="SUM3" s="15"/>
      <c r="SUN3" s="15"/>
      <c r="SUO3" s="15"/>
      <c r="SUP3" s="15"/>
      <c r="SUQ3" s="15"/>
      <c r="SUR3" s="15"/>
      <c r="SUS3" s="15"/>
      <c r="SUT3" s="15"/>
      <c r="SUU3" s="15"/>
      <c r="SUV3" s="15"/>
      <c r="SUW3" s="15"/>
      <c r="SUX3" s="15"/>
      <c r="SUY3" s="15"/>
      <c r="SUZ3" s="15"/>
      <c r="SVA3" s="15"/>
      <c r="SVB3" s="15"/>
      <c r="SVC3" s="15"/>
      <c r="SVD3" s="15"/>
      <c r="SVE3" s="15"/>
      <c r="SVF3" s="15"/>
      <c r="SVG3" s="15"/>
      <c r="SVH3" s="15"/>
      <c r="SVI3" s="15"/>
      <c r="SVJ3" s="15"/>
      <c r="SVK3" s="15"/>
      <c r="SVL3" s="15"/>
      <c r="SVM3" s="15"/>
      <c r="SVN3" s="15"/>
      <c r="SVO3" s="15"/>
      <c r="SVP3" s="15"/>
      <c r="SVQ3" s="15"/>
      <c r="SVR3" s="15"/>
      <c r="SVS3" s="15"/>
      <c r="SVT3" s="15"/>
      <c r="SVU3" s="15"/>
      <c r="SVV3" s="15"/>
      <c r="SVW3" s="15"/>
      <c r="SVX3" s="15"/>
      <c r="SVY3" s="15"/>
      <c r="SVZ3" s="15"/>
      <c r="SWA3" s="15"/>
      <c r="SWB3" s="15"/>
      <c r="SWC3" s="15"/>
      <c r="SWD3" s="15"/>
      <c r="SWE3" s="15"/>
      <c r="SWF3" s="15"/>
      <c r="SWG3" s="15"/>
      <c r="SWH3" s="15"/>
      <c r="SWI3" s="15"/>
      <c r="SWJ3" s="15"/>
      <c r="SWK3" s="15"/>
      <c r="SWL3" s="15"/>
      <c r="SWM3" s="15"/>
      <c r="SWN3" s="15"/>
      <c r="SWO3" s="15"/>
      <c r="SWP3" s="15"/>
      <c r="SWQ3" s="15"/>
      <c r="SWR3" s="15"/>
      <c r="SWS3" s="15"/>
      <c r="SWT3" s="15"/>
      <c r="SWU3" s="15"/>
      <c r="SWV3" s="15"/>
      <c r="SWW3" s="15"/>
      <c r="SWX3" s="15"/>
      <c r="SWY3" s="15"/>
      <c r="SWZ3" s="15"/>
      <c r="SXA3" s="15"/>
      <c r="SXB3" s="15"/>
      <c r="SXC3" s="15"/>
      <c r="SXD3" s="15"/>
      <c r="SXE3" s="15"/>
      <c r="SXF3" s="15"/>
      <c r="SXG3" s="15"/>
      <c r="SXH3" s="15"/>
      <c r="SXI3" s="15"/>
      <c r="SXJ3" s="15"/>
      <c r="SXK3" s="15"/>
      <c r="SXL3" s="15"/>
      <c r="SXM3" s="15"/>
      <c r="SXN3" s="15"/>
      <c r="SXO3" s="15"/>
      <c r="SXP3" s="15"/>
      <c r="SXQ3" s="15"/>
      <c r="SXR3" s="15"/>
      <c r="SXS3" s="15"/>
      <c r="SXT3" s="15"/>
      <c r="SXU3" s="15"/>
      <c r="SXV3" s="15"/>
      <c r="SXW3" s="15"/>
      <c r="SXX3" s="15"/>
      <c r="SXY3" s="15"/>
      <c r="SXZ3" s="15"/>
      <c r="SYA3" s="15"/>
      <c r="SYB3" s="15"/>
      <c r="SYC3" s="15"/>
      <c r="SYD3" s="15"/>
      <c r="SYE3" s="15"/>
      <c r="SYF3" s="15"/>
      <c r="SYG3" s="15"/>
      <c r="SYH3" s="15"/>
      <c r="SYI3" s="15"/>
      <c r="SYJ3" s="15"/>
      <c r="SYK3" s="15"/>
      <c r="SYL3" s="15"/>
      <c r="SYM3" s="15"/>
      <c r="SYN3" s="15"/>
      <c r="SYO3" s="15"/>
      <c r="SYP3" s="15"/>
      <c r="SYQ3" s="15"/>
      <c r="SYR3" s="15"/>
      <c r="SYS3" s="15"/>
      <c r="SYT3" s="15"/>
      <c r="SYU3" s="15"/>
      <c r="SYV3" s="15"/>
      <c r="SYW3" s="15"/>
      <c r="SYX3" s="15"/>
      <c r="SYY3" s="15"/>
      <c r="SYZ3" s="15"/>
      <c r="SZA3" s="15"/>
      <c r="SZB3" s="15"/>
      <c r="SZC3" s="15"/>
      <c r="SZD3" s="15"/>
      <c r="SZE3" s="15"/>
      <c r="SZF3" s="15"/>
      <c r="SZG3" s="15"/>
      <c r="SZH3" s="15"/>
      <c r="SZI3" s="15"/>
      <c r="SZJ3" s="15"/>
      <c r="SZK3" s="15"/>
      <c r="SZL3" s="15"/>
      <c r="SZM3" s="15"/>
      <c r="SZN3" s="15"/>
      <c r="SZO3" s="15"/>
      <c r="SZP3" s="15"/>
      <c r="SZQ3" s="15"/>
      <c r="SZR3" s="15"/>
      <c r="SZS3" s="15"/>
      <c r="SZT3" s="15"/>
      <c r="SZU3" s="15"/>
      <c r="SZV3" s="15"/>
      <c r="SZW3" s="15"/>
      <c r="SZX3" s="15"/>
      <c r="SZY3" s="15"/>
      <c r="SZZ3" s="15"/>
      <c r="TAA3" s="15"/>
      <c r="TAB3" s="15"/>
      <c r="TAC3" s="15"/>
      <c r="TAD3" s="15"/>
      <c r="TAE3" s="15"/>
      <c r="TAF3" s="15"/>
      <c r="TAG3" s="15"/>
      <c r="TAH3" s="15"/>
      <c r="TAI3" s="15"/>
      <c r="TAJ3" s="15"/>
      <c r="TAK3" s="15"/>
      <c r="TAL3" s="15"/>
      <c r="TAM3" s="15"/>
      <c r="TAN3" s="15"/>
      <c r="TAO3" s="15"/>
      <c r="TAP3" s="15"/>
      <c r="TAQ3" s="15"/>
      <c r="TAR3" s="15"/>
      <c r="TAS3" s="15"/>
      <c r="TAT3" s="15"/>
      <c r="TAU3" s="15"/>
      <c r="TAV3" s="15"/>
      <c r="TAW3" s="15"/>
      <c r="TAX3" s="15"/>
      <c r="TAY3" s="15"/>
      <c r="TAZ3" s="15"/>
      <c r="TBA3" s="15"/>
      <c r="TBB3" s="15"/>
      <c r="TBC3" s="15"/>
      <c r="TBD3" s="15"/>
      <c r="TBE3" s="15"/>
      <c r="TBF3" s="15"/>
      <c r="TBG3" s="15"/>
      <c r="TBH3" s="15"/>
      <c r="TBI3" s="15"/>
      <c r="TBJ3" s="15"/>
      <c r="TBK3" s="15"/>
      <c r="TBL3" s="15"/>
      <c r="TBM3" s="15"/>
      <c r="TBN3" s="15"/>
      <c r="TBO3" s="15"/>
      <c r="TBP3" s="15"/>
      <c r="TBQ3" s="15"/>
      <c r="TBR3" s="15"/>
      <c r="TBS3" s="15"/>
      <c r="TBT3" s="15"/>
      <c r="TBU3" s="15"/>
      <c r="TBV3" s="15"/>
      <c r="TBW3" s="15"/>
      <c r="TBX3" s="15"/>
      <c r="TBY3" s="15"/>
      <c r="TBZ3" s="15"/>
      <c r="TCA3" s="15"/>
      <c r="TCB3" s="15"/>
      <c r="TCC3" s="15"/>
      <c r="TCD3" s="15"/>
      <c r="TCE3" s="15"/>
      <c r="TCF3" s="15"/>
      <c r="TCG3" s="15"/>
      <c r="TCH3" s="15"/>
      <c r="TCI3" s="15"/>
      <c r="TCJ3" s="15"/>
      <c r="TCK3" s="15"/>
      <c r="TCL3" s="15"/>
      <c r="TCM3" s="15"/>
      <c r="TCN3" s="15"/>
      <c r="TCO3" s="15"/>
      <c r="TCP3" s="15"/>
      <c r="TCQ3" s="15"/>
      <c r="TCR3" s="15"/>
      <c r="TCS3" s="15"/>
      <c r="TCT3" s="15"/>
      <c r="TCU3" s="15"/>
      <c r="TCV3" s="15"/>
      <c r="TCW3" s="15"/>
      <c r="TCX3" s="15"/>
      <c r="TCY3" s="15"/>
      <c r="TCZ3" s="15"/>
      <c r="TDA3" s="15"/>
      <c r="TDB3" s="15"/>
      <c r="TDC3" s="15"/>
      <c r="TDD3" s="15"/>
      <c r="TDE3" s="15"/>
      <c r="TDF3" s="15"/>
      <c r="TDG3" s="15"/>
      <c r="TDH3" s="15"/>
      <c r="TDI3" s="15"/>
      <c r="TDJ3" s="15"/>
      <c r="TDK3" s="15"/>
      <c r="TDL3" s="15"/>
      <c r="TDM3" s="15"/>
      <c r="TDN3" s="15"/>
      <c r="TDO3" s="15"/>
      <c r="TDP3" s="15"/>
      <c r="TDQ3" s="15"/>
      <c r="TDR3" s="15"/>
      <c r="TDS3" s="15"/>
      <c r="TDT3" s="15"/>
      <c r="TDU3" s="15"/>
      <c r="TDV3" s="15"/>
      <c r="TDW3" s="15"/>
      <c r="TDX3" s="15"/>
      <c r="TDY3" s="15"/>
      <c r="TDZ3" s="15"/>
      <c r="TEA3" s="15"/>
      <c r="TEB3" s="15"/>
      <c r="TEC3" s="15"/>
      <c r="TED3" s="15"/>
      <c r="TEE3" s="15"/>
      <c r="TEF3" s="15"/>
      <c r="TEG3" s="15"/>
      <c r="TEH3" s="15"/>
      <c r="TEI3" s="15"/>
      <c r="TEJ3" s="15"/>
      <c r="TEK3" s="15"/>
      <c r="TEL3" s="15"/>
      <c r="TEM3" s="15"/>
      <c r="TEN3" s="15"/>
      <c r="TEO3" s="15"/>
      <c r="TEP3" s="15"/>
      <c r="TEQ3" s="15"/>
      <c r="TER3" s="15"/>
      <c r="TES3" s="15"/>
      <c r="TET3" s="15"/>
      <c r="TEU3" s="15"/>
      <c r="TEV3" s="15"/>
      <c r="TEW3" s="15"/>
      <c r="TEX3" s="15"/>
      <c r="TEY3" s="15"/>
      <c r="TEZ3" s="15"/>
      <c r="TFA3" s="15"/>
      <c r="TFB3" s="15"/>
      <c r="TFC3" s="15"/>
      <c r="TFD3" s="15"/>
      <c r="TFE3" s="15"/>
      <c r="TFF3" s="15"/>
      <c r="TFG3" s="15"/>
      <c r="TFH3" s="15"/>
      <c r="TFI3" s="15"/>
      <c r="TFJ3" s="15"/>
      <c r="TFK3" s="15"/>
      <c r="TFL3" s="15"/>
      <c r="TFM3" s="15"/>
      <c r="TFN3" s="15"/>
      <c r="TFO3" s="15"/>
      <c r="TFP3" s="15"/>
      <c r="TFQ3" s="15"/>
      <c r="TFR3" s="15"/>
      <c r="TFS3" s="15"/>
      <c r="TFT3" s="15"/>
      <c r="TFU3" s="15"/>
      <c r="TFV3" s="15"/>
      <c r="TFW3" s="15"/>
      <c r="TFX3" s="15"/>
      <c r="TFY3" s="15"/>
      <c r="TFZ3" s="15"/>
      <c r="TGA3" s="15"/>
      <c r="TGB3" s="15"/>
      <c r="TGC3" s="15"/>
      <c r="TGD3" s="15"/>
      <c r="TGE3" s="15"/>
      <c r="TGF3" s="15"/>
      <c r="TGG3" s="15"/>
      <c r="TGH3" s="15"/>
      <c r="TGI3" s="15"/>
      <c r="TGJ3" s="15"/>
      <c r="TGK3" s="15"/>
      <c r="TGL3" s="15"/>
      <c r="TGM3" s="15"/>
      <c r="TGN3" s="15"/>
      <c r="TGO3" s="15"/>
      <c r="TGP3" s="15"/>
      <c r="TGQ3" s="15"/>
      <c r="TGR3" s="15"/>
      <c r="TGS3" s="15"/>
      <c r="TGT3" s="15"/>
      <c r="TGU3" s="15"/>
      <c r="TGV3" s="15"/>
      <c r="TGW3" s="15"/>
      <c r="TGX3" s="15"/>
      <c r="TGY3" s="15"/>
      <c r="TGZ3" s="15"/>
      <c r="THA3" s="15"/>
      <c r="THB3" s="15"/>
      <c r="THC3" s="15"/>
      <c r="THD3" s="15"/>
      <c r="THE3" s="15"/>
      <c r="THF3" s="15"/>
      <c r="THG3" s="15"/>
      <c r="THH3" s="15"/>
      <c r="THI3" s="15"/>
      <c r="THJ3" s="15"/>
      <c r="THK3" s="15"/>
      <c r="THL3" s="15"/>
      <c r="THM3" s="15"/>
      <c r="THN3" s="15"/>
      <c r="THO3" s="15"/>
      <c r="THP3" s="15"/>
      <c r="THQ3" s="15"/>
      <c r="THR3" s="15"/>
      <c r="THS3" s="15"/>
      <c r="THT3" s="15"/>
      <c r="THU3" s="15"/>
      <c r="THV3" s="15"/>
      <c r="THW3" s="15"/>
      <c r="THX3" s="15"/>
      <c r="THY3" s="15"/>
      <c r="THZ3" s="15"/>
      <c r="TIA3" s="15"/>
      <c r="TIB3" s="15"/>
      <c r="TIC3" s="15"/>
      <c r="TID3" s="15"/>
      <c r="TIE3" s="15"/>
      <c r="TIF3" s="15"/>
      <c r="TIG3" s="15"/>
      <c r="TIH3" s="15"/>
      <c r="TII3" s="15"/>
      <c r="TIJ3" s="15"/>
      <c r="TIK3" s="15"/>
      <c r="TIL3" s="15"/>
      <c r="TIM3" s="15"/>
      <c r="TIN3" s="15"/>
      <c r="TIO3" s="15"/>
      <c r="TIP3" s="15"/>
      <c r="TIQ3" s="15"/>
      <c r="TIR3" s="15"/>
      <c r="TIS3" s="15"/>
      <c r="TIT3" s="15"/>
      <c r="TIU3" s="15"/>
      <c r="TIV3" s="15"/>
      <c r="TIW3" s="15"/>
      <c r="TIX3" s="15"/>
      <c r="TIY3" s="15"/>
      <c r="TIZ3" s="15"/>
      <c r="TJA3" s="15"/>
      <c r="TJB3" s="15"/>
      <c r="TJC3" s="15"/>
      <c r="TJD3" s="15"/>
      <c r="TJE3" s="15"/>
      <c r="TJF3" s="15"/>
      <c r="TJG3" s="15"/>
      <c r="TJH3" s="15"/>
      <c r="TJI3" s="15"/>
      <c r="TJJ3" s="15"/>
      <c r="TJK3" s="15"/>
      <c r="TJL3" s="15"/>
      <c r="TJM3" s="15"/>
      <c r="TJN3" s="15"/>
      <c r="TJO3" s="15"/>
      <c r="TJP3" s="15"/>
      <c r="TJQ3" s="15"/>
      <c r="TJR3" s="15"/>
      <c r="TJS3" s="15"/>
      <c r="TJT3" s="15"/>
      <c r="TJU3" s="15"/>
      <c r="TJV3" s="15"/>
      <c r="TJW3" s="15"/>
      <c r="TJX3" s="15"/>
      <c r="TJY3" s="15"/>
      <c r="TJZ3" s="15"/>
      <c r="TKA3" s="15"/>
      <c r="TKB3" s="15"/>
      <c r="TKC3" s="15"/>
      <c r="TKD3" s="15"/>
      <c r="TKE3" s="15"/>
      <c r="TKF3" s="15"/>
      <c r="TKG3" s="15"/>
      <c r="TKH3" s="15"/>
      <c r="TKI3" s="15"/>
      <c r="TKJ3" s="15"/>
      <c r="TKK3" s="15"/>
      <c r="TKL3" s="15"/>
      <c r="TKM3" s="15"/>
      <c r="TKN3" s="15"/>
      <c r="TKO3" s="15"/>
      <c r="TKP3" s="15"/>
      <c r="TKQ3" s="15"/>
      <c r="TKR3" s="15"/>
      <c r="TKS3" s="15"/>
      <c r="TKT3" s="15"/>
      <c r="TKU3" s="15"/>
      <c r="TKV3" s="15"/>
      <c r="TKW3" s="15"/>
      <c r="TKX3" s="15"/>
      <c r="TKY3" s="15"/>
      <c r="TKZ3" s="15"/>
      <c r="TLA3" s="15"/>
      <c r="TLB3" s="15"/>
      <c r="TLC3" s="15"/>
      <c r="TLD3" s="15"/>
      <c r="TLE3" s="15"/>
      <c r="TLF3" s="15"/>
      <c r="TLG3" s="15"/>
      <c r="TLH3" s="15"/>
      <c r="TLI3" s="15"/>
      <c r="TLJ3" s="15"/>
      <c r="TLK3" s="15"/>
      <c r="TLL3" s="15"/>
      <c r="TLM3" s="15"/>
      <c r="TLN3" s="15"/>
      <c r="TLO3" s="15"/>
      <c r="TLP3" s="15"/>
      <c r="TLQ3" s="15"/>
      <c r="TLR3" s="15"/>
      <c r="TLS3" s="15"/>
      <c r="TLT3" s="15"/>
      <c r="TLU3" s="15"/>
      <c r="TLV3" s="15"/>
      <c r="TLW3" s="15"/>
      <c r="TLX3" s="15"/>
      <c r="TLY3" s="15"/>
      <c r="TLZ3" s="15"/>
      <c r="TMA3" s="15"/>
      <c r="TMB3" s="15"/>
      <c r="TMC3" s="15"/>
      <c r="TMD3" s="15"/>
      <c r="TME3" s="15"/>
      <c r="TMF3" s="15"/>
      <c r="TMG3" s="15"/>
      <c r="TMH3" s="15"/>
      <c r="TMI3" s="15"/>
      <c r="TMJ3" s="15"/>
      <c r="TMK3" s="15"/>
      <c r="TML3" s="15"/>
      <c r="TMM3" s="15"/>
      <c r="TMN3" s="15"/>
      <c r="TMO3" s="15"/>
      <c r="TMP3" s="15"/>
      <c r="TMQ3" s="15"/>
      <c r="TMR3" s="15"/>
      <c r="TMS3" s="15"/>
      <c r="TMT3" s="15"/>
      <c r="TMU3" s="15"/>
      <c r="TMV3" s="15"/>
      <c r="TMW3" s="15"/>
      <c r="TMX3" s="15"/>
      <c r="TMY3" s="15"/>
      <c r="TMZ3" s="15"/>
      <c r="TNA3" s="15"/>
      <c r="TNB3" s="15"/>
      <c r="TNC3" s="15"/>
      <c r="TND3" s="15"/>
      <c r="TNE3" s="15"/>
      <c r="TNF3" s="15"/>
      <c r="TNG3" s="15"/>
      <c r="TNH3" s="15"/>
      <c r="TNI3" s="15"/>
      <c r="TNJ3" s="15"/>
      <c r="TNK3" s="15"/>
      <c r="TNL3" s="15"/>
      <c r="TNM3" s="15"/>
      <c r="TNN3" s="15"/>
      <c r="TNO3" s="15"/>
      <c r="TNP3" s="15"/>
      <c r="TNQ3" s="15"/>
      <c r="TNR3" s="15"/>
      <c r="TNS3" s="15"/>
      <c r="TNT3" s="15"/>
      <c r="TNU3" s="15"/>
      <c r="TNV3" s="15"/>
      <c r="TNW3" s="15"/>
      <c r="TNX3" s="15"/>
      <c r="TNY3" s="15"/>
      <c r="TNZ3" s="15"/>
      <c r="TOA3" s="15"/>
      <c r="TOB3" s="15"/>
      <c r="TOC3" s="15"/>
      <c r="TOD3" s="15"/>
      <c r="TOE3" s="15"/>
      <c r="TOF3" s="15"/>
      <c r="TOG3" s="15"/>
      <c r="TOH3" s="15"/>
      <c r="TOI3" s="15"/>
      <c r="TOJ3" s="15"/>
      <c r="TOK3" s="15"/>
      <c r="TOL3" s="15"/>
      <c r="TOM3" s="15"/>
      <c r="TON3" s="15"/>
      <c r="TOO3" s="15"/>
      <c r="TOP3" s="15"/>
      <c r="TOQ3" s="15"/>
      <c r="TOR3" s="15"/>
      <c r="TOS3" s="15"/>
      <c r="TOT3" s="15"/>
      <c r="TOU3" s="15"/>
      <c r="TOV3" s="15"/>
      <c r="TOW3" s="15"/>
      <c r="TOX3" s="15"/>
      <c r="TOY3" s="15"/>
      <c r="TOZ3" s="15"/>
      <c r="TPA3" s="15"/>
      <c r="TPB3" s="15"/>
      <c r="TPC3" s="15"/>
      <c r="TPD3" s="15"/>
      <c r="TPE3" s="15"/>
      <c r="TPF3" s="15"/>
      <c r="TPG3" s="15"/>
      <c r="TPH3" s="15"/>
      <c r="TPI3" s="15"/>
      <c r="TPJ3" s="15"/>
      <c r="TPK3" s="15"/>
      <c r="TPL3" s="15"/>
      <c r="TPM3" s="15"/>
      <c r="TPN3" s="15"/>
      <c r="TPO3" s="15"/>
      <c r="TPP3" s="15"/>
      <c r="TPQ3" s="15"/>
      <c r="TPR3" s="15"/>
      <c r="TPS3" s="15"/>
      <c r="TPT3" s="15"/>
      <c r="TPU3" s="15"/>
      <c r="TPV3" s="15"/>
      <c r="TPW3" s="15"/>
      <c r="TPX3" s="15"/>
      <c r="TPY3" s="15"/>
      <c r="TPZ3" s="15"/>
      <c r="TQA3" s="15"/>
      <c r="TQB3" s="15"/>
      <c r="TQC3" s="15"/>
      <c r="TQD3" s="15"/>
      <c r="TQE3" s="15"/>
      <c r="TQF3" s="15"/>
      <c r="TQG3" s="15"/>
      <c r="TQH3" s="15"/>
      <c r="TQI3" s="15"/>
      <c r="TQJ3" s="15"/>
      <c r="TQK3" s="15"/>
      <c r="TQL3" s="15"/>
      <c r="TQM3" s="15"/>
      <c r="TQN3" s="15"/>
      <c r="TQO3" s="15"/>
      <c r="TQP3" s="15"/>
      <c r="TQQ3" s="15"/>
      <c r="TQR3" s="15"/>
      <c r="TQS3" s="15"/>
      <c r="TQT3" s="15"/>
      <c r="TQU3" s="15"/>
      <c r="TQV3" s="15"/>
      <c r="TQW3" s="15"/>
      <c r="TQX3" s="15"/>
      <c r="TQY3" s="15"/>
      <c r="TQZ3" s="15"/>
      <c r="TRA3" s="15"/>
      <c r="TRB3" s="15"/>
      <c r="TRC3" s="15"/>
      <c r="TRD3" s="15"/>
      <c r="TRE3" s="15"/>
      <c r="TRF3" s="15"/>
      <c r="TRG3" s="15"/>
      <c r="TRH3" s="15"/>
      <c r="TRI3" s="15"/>
      <c r="TRJ3" s="15"/>
      <c r="TRK3" s="15"/>
      <c r="TRL3" s="15"/>
      <c r="TRM3" s="15"/>
      <c r="TRN3" s="15"/>
      <c r="TRO3" s="15"/>
      <c r="TRP3" s="15"/>
      <c r="TRQ3" s="15"/>
      <c r="TRR3" s="15"/>
      <c r="TRS3" s="15"/>
      <c r="TRT3" s="15"/>
      <c r="TRU3" s="15"/>
      <c r="TRV3" s="15"/>
      <c r="TRW3" s="15"/>
      <c r="TRX3" s="15"/>
      <c r="TRY3" s="15"/>
      <c r="TRZ3" s="15"/>
      <c r="TSA3" s="15"/>
      <c r="TSB3" s="15"/>
      <c r="TSC3" s="15"/>
      <c r="TSD3" s="15"/>
      <c r="TSE3" s="15"/>
      <c r="TSF3" s="15"/>
      <c r="TSG3" s="15"/>
      <c r="TSH3" s="15"/>
      <c r="TSI3" s="15"/>
      <c r="TSJ3" s="15"/>
      <c r="TSK3" s="15"/>
      <c r="TSL3" s="15"/>
      <c r="TSM3" s="15"/>
      <c r="TSN3" s="15"/>
      <c r="TSO3" s="15"/>
      <c r="TSP3" s="15"/>
      <c r="TSQ3" s="15"/>
      <c r="TSR3" s="15"/>
      <c r="TSS3" s="15"/>
      <c r="TST3" s="15"/>
      <c r="TSU3" s="15"/>
      <c r="TSV3" s="15"/>
      <c r="TSW3" s="15"/>
      <c r="TSX3" s="15"/>
      <c r="TSY3" s="15"/>
      <c r="TSZ3" s="15"/>
      <c r="TTA3" s="15"/>
      <c r="TTB3" s="15"/>
      <c r="TTC3" s="15"/>
      <c r="TTD3" s="15"/>
      <c r="TTE3" s="15"/>
      <c r="TTF3" s="15"/>
      <c r="TTG3" s="15"/>
      <c r="TTH3" s="15"/>
      <c r="TTI3" s="15"/>
      <c r="TTJ3" s="15"/>
      <c r="TTK3" s="15"/>
      <c r="TTL3" s="15"/>
      <c r="TTM3" s="15"/>
      <c r="TTN3" s="15"/>
      <c r="TTO3" s="15"/>
      <c r="TTP3" s="15"/>
      <c r="TTQ3" s="15"/>
      <c r="TTR3" s="15"/>
      <c r="TTS3" s="15"/>
      <c r="TTT3" s="15"/>
      <c r="TTU3" s="15"/>
      <c r="TTV3" s="15"/>
      <c r="TTW3" s="15"/>
      <c r="TTX3" s="15"/>
      <c r="TTY3" s="15"/>
      <c r="TTZ3" s="15"/>
      <c r="TUA3" s="15"/>
      <c r="TUB3" s="15"/>
      <c r="TUC3" s="15"/>
      <c r="TUD3" s="15"/>
      <c r="TUE3" s="15"/>
      <c r="TUF3" s="15"/>
      <c r="TUG3" s="15"/>
      <c r="TUH3" s="15"/>
      <c r="TUI3" s="15"/>
      <c r="TUJ3" s="15"/>
      <c r="TUK3" s="15"/>
      <c r="TUL3" s="15"/>
      <c r="TUM3" s="15"/>
      <c r="TUN3" s="15"/>
      <c r="TUO3" s="15"/>
      <c r="TUP3" s="15"/>
      <c r="TUQ3" s="15"/>
      <c r="TUR3" s="15"/>
      <c r="TUS3" s="15"/>
      <c r="TUT3" s="15"/>
      <c r="TUU3" s="15"/>
      <c r="TUV3" s="15"/>
      <c r="TUW3" s="15"/>
      <c r="TUX3" s="15"/>
      <c r="TUY3" s="15"/>
      <c r="TUZ3" s="15"/>
      <c r="TVA3" s="15"/>
      <c r="TVB3" s="15"/>
      <c r="TVC3" s="15"/>
      <c r="TVD3" s="15"/>
      <c r="TVE3" s="15"/>
      <c r="TVF3" s="15"/>
      <c r="TVG3" s="15"/>
      <c r="TVH3" s="15"/>
      <c r="TVI3" s="15"/>
      <c r="TVJ3" s="15"/>
      <c r="TVK3" s="15"/>
      <c r="TVL3" s="15"/>
      <c r="TVM3" s="15"/>
      <c r="TVN3" s="15"/>
      <c r="TVO3" s="15"/>
      <c r="TVP3" s="15"/>
      <c r="TVQ3" s="15"/>
      <c r="TVR3" s="15"/>
      <c r="TVS3" s="15"/>
      <c r="TVT3" s="15"/>
      <c r="TVU3" s="15"/>
      <c r="TVV3" s="15"/>
      <c r="TVW3" s="15"/>
      <c r="TVX3" s="15"/>
      <c r="TVY3" s="15"/>
      <c r="TVZ3" s="15"/>
      <c r="TWA3" s="15"/>
      <c r="TWB3" s="15"/>
      <c r="TWC3" s="15"/>
      <c r="TWD3" s="15"/>
      <c r="TWE3" s="15"/>
      <c r="TWF3" s="15"/>
      <c r="TWG3" s="15"/>
      <c r="TWH3" s="15"/>
      <c r="TWI3" s="15"/>
      <c r="TWJ3" s="15"/>
      <c r="TWK3" s="15"/>
      <c r="TWL3" s="15"/>
      <c r="TWM3" s="15"/>
      <c r="TWN3" s="15"/>
      <c r="TWO3" s="15"/>
      <c r="TWP3" s="15"/>
      <c r="TWQ3" s="15"/>
      <c r="TWR3" s="15"/>
      <c r="TWS3" s="15"/>
      <c r="TWT3" s="15"/>
      <c r="TWU3" s="15"/>
      <c r="TWV3" s="15"/>
      <c r="TWW3" s="15"/>
      <c r="TWX3" s="15"/>
      <c r="TWY3" s="15"/>
      <c r="TWZ3" s="15"/>
      <c r="TXA3" s="15"/>
      <c r="TXB3" s="15"/>
      <c r="TXC3" s="15"/>
      <c r="TXD3" s="15"/>
      <c r="TXE3" s="15"/>
      <c r="TXF3" s="15"/>
      <c r="TXG3" s="15"/>
      <c r="TXH3" s="15"/>
      <c r="TXI3" s="15"/>
      <c r="TXJ3" s="15"/>
      <c r="TXK3" s="15"/>
      <c r="TXL3" s="15"/>
      <c r="TXM3" s="15"/>
      <c r="TXN3" s="15"/>
      <c r="TXO3" s="15"/>
      <c r="TXP3" s="15"/>
      <c r="TXQ3" s="15"/>
      <c r="TXR3" s="15"/>
      <c r="TXS3" s="15"/>
      <c r="TXT3" s="15"/>
      <c r="TXU3" s="15"/>
      <c r="TXV3" s="15"/>
      <c r="TXW3" s="15"/>
      <c r="TXX3" s="15"/>
      <c r="TXY3" s="15"/>
      <c r="TXZ3" s="15"/>
      <c r="TYA3" s="15"/>
      <c r="TYB3" s="15"/>
      <c r="TYC3" s="15"/>
      <c r="TYD3" s="15"/>
      <c r="TYE3" s="15"/>
      <c r="TYF3" s="15"/>
      <c r="TYG3" s="15"/>
      <c r="TYH3" s="15"/>
      <c r="TYI3" s="15"/>
      <c r="TYJ3" s="15"/>
      <c r="TYK3" s="15"/>
      <c r="TYL3" s="15"/>
      <c r="TYM3" s="15"/>
      <c r="TYN3" s="15"/>
      <c r="TYO3" s="15"/>
      <c r="TYP3" s="15"/>
      <c r="TYQ3" s="15"/>
      <c r="TYR3" s="15"/>
      <c r="TYS3" s="15"/>
      <c r="TYT3" s="15"/>
      <c r="TYU3" s="15"/>
      <c r="TYV3" s="15"/>
      <c r="TYW3" s="15"/>
      <c r="TYX3" s="15"/>
      <c r="TYY3" s="15"/>
      <c r="TYZ3" s="15"/>
      <c r="TZA3" s="15"/>
      <c r="TZB3" s="15"/>
      <c r="TZC3" s="15"/>
      <c r="TZD3" s="15"/>
      <c r="TZE3" s="15"/>
      <c r="TZF3" s="15"/>
      <c r="TZG3" s="15"/>
      <c r="TZH3" s="15"/>
      <c r="TZI3" s="15"/>
      <c r="TZJ3" s="15"/>
      <c r="TZK3" s="15"/>
      <c r="TZL3" s="15"/>
      <c r="TZM3" s="15"/>
      <c r="TZN3" s="15"/>
      <c r="TZO3" s="15"/>
      <c r="TZP3" s="15"/>
      <c r="TZQ3" s="15"/>
      <c r="TZR3" s="15"/>
      <c r="TZS3" s="15"/>
      <c r="TZT3" s="15"/>
      <c r="TZU3" s="15"/>
      <c r="TZV3" s="15"/>
      <c r="TZW3" s="15"/>
      <c r="TZX3" s="15"/>
      <c r="TZY3" s="15"/>
      <c r="TZZ3" s="15"/>
      <c r="UAA3" s="15"/>
      <c r="UAB3" s="15"/>
      <c r="UAC3" s="15"/>
      <c r="UAD3" s="15"/>
      <c r="UAE3" s="15"/>
      <c r="UAF3" s="15"/>
      <c r="UAG3" s="15"/>
      <c r="UAH3" s="15"/>
      <c r="UAI3" s="15"/>
      <c r="UAJ3" s="15"/>
      <c r="UAK3" s="15"/>
      <c r="UAL3" s="15"/>
      <c r="UAM3" s="15"/>
      <c r="UAN3" s="15"/>
      <c r="UAO3" s="15"/>
      <c r="UAP3" s="15"/>
      <c r="UAQ3" s="15"/>
      <c r="UAR3" s="15"/>
      <c r="UAS3" s="15"/>
      <c r="UAT3" s="15"/>
      <c r="UAU3" s="15"/>
      <c r="UAV3" s="15"/>
      <c r="UAW3" s="15"/>
      <c r="UAX3" s="15"/>
      <c r="UAY3" s="15"/>
      <c r="UAZ3" s="15"/>
      <c r="UBA3" s="15"/>
      <c r="UBB3" s="15"/>
      <c r="UBC3" s="15"/>
      <c r="UBD3" s="15"/>
      <c r="UBE3" s="15"/>
      <c r="UBF3" s="15"/>
      <c r="UBG3" s="15"/>
      <c r="UBH3" s="15"/>
      <c r="UBI3" s="15"/>
      <c r="UBJ3" s="15"/>
      <c r="UBK3" s="15"/>
      <c r="UBL3" s="15"/>
      <c r="UBM3" s="15"/>
      <c r="UBN3" s="15"/>
      <c r="UBO3" s="15"/>
      <c r="UBP3" s="15"/>
      <c r="UBQ3" s="15"/>
      <c r="UBR3" s="15"/>
      <c r="UBS3" s="15"/>
      <c r="UBT3" s="15"/>
      <c r="UBU3" s="15"/>
      <c r="UBV3" s="15"/>
      <c r="UBW3" s="15"/>
      <c r="UBX3" s="15"/>
      <c r="UBY3" s="15"/>
      <c r="UBZ3" s="15"/>
      <c r="UCA3" s="15"/>
      <c r="UCB3" s="15"/>
      <c r="UCC3" s="15"/>
      <c r="UCD3" s="15"/>
      <c r="UCE3" s="15"/>
      <c r="UCF3" s="15"/>
      <c r="UCG3" s="15"/>
      <c r="UCH3" s="15"/>
      <c r="UCI3" s="15"/>
      <c r="UCJ3" s="15"/>
      <c r="UCK3" s="15"/>
      <c r="UCL3" s="15"/>
      <c r="UCM3" s="15"/>
      <c r="UCN3" s="15"/>
      <c r="UCO3" s="15"/>
      <c r="UCP3" s="15"/>
      <c r="UCQ3" s="15"/>
      <c r="UCR3" s="15"/>
      <c r="UCS3" s="15"/>
      <c r="UCT3" s="15"/>
      <c r="UCU3" s="15"/>
      <c r="UCV3" s="15"/>
      <c r="UCW3" s="15"/>
      <c r="UCX3" s="15"/>
      <c r="UCY3" s="15"/>
      <c r="UCZ3" s="15"/>
      <c r="UDA3" s="15"/>
      <c r="UDB3" s="15"/>
      <c r="UDC3" s="15"/>
      <c r="UDD3" s="15"/>
      <c r="UDE3" s="15"/>
      <c r="UDF3" s="15"/>
      <c r="UDG3" s="15"/>
      <c r="UDH3" s="15"/>
      <c r="UDI3" s="15"/>
      <c r="UDJ3" s="15"/>
      <c r="UDK3" s="15"/>
      <c r="UDL3" s="15"/>
      <c r="UDM3" s="15"/>
      <c r="UDN3" s="15"/>
      <c r="UDO3" s="15"/>
      <c r="UDP3" s="15"/>
      <c r="UDQ3" s="15"/>
      <c r="UDR3" s="15"/>
      <c r="UDS3" s="15"/>
      <c r="UDT3" s="15"/>
      <c r="UDU3" s="15"/>
      <c r="UDV3" s="15"/>
      <c r="UDW3" s="15"/>
      <c r="UDX3" s="15"/>
      <c r="UDY3" s="15"/>
      <c r="UDZ3" s="15"/>
      <c r="UEA3" s="15"/>
      <c r="UEB3" s="15"/>
      <c r="UEC3" s="15"/>
      <c r="UED3" s="15"/>
      <c r="UEE3" s="15"/>
      <c r="UEF3" s="15"/>
      <c r="UEG3" s="15"/>
      <c r="UEH3" s="15"/>
      <c r="UEI3" s="15"/>
      <c r="UEJ3" s="15"/>
      <c r="UEK3" s="15"/>
      <c r="UEL3" s="15"/>
      <c r="UEM3" s="15"/>
      <c r="UEN3" s="15"/>
      <c r="UEO3" s="15"/>
      <c r="UEP3" s="15"/>
      <c r="UEQ3" s="15"/>
      <c r="UER3" s="15"/>
      <c r="UES3" s="15"/>
      <c r="UET3" s="15"/>
      <c r="UEU3" s="15"/>
      <c r="UEV3" s="15"/>
      <c r="UEW3" s="15"/>
      <c r="UEX3" s="15"/>
      <c r="UEY3" s="15"/>
      <c r="UEZ3" s="15"/>
      <c r="UFA3" s="15"/>
      <c r="UFB3" s="15"/>
      <c r="UFC3" s="15"/>
      <c r="UFD3" s="15"/>
      <c r="UFE3" s="15"/>
      <c r="UFF3" s="15"/>
      <c r="UFG3" s="15"/>
      <c r="UFH3" s="15"/>
      <c r="UFI3" s="15"/>
      <c r="UFJ3" s="15"/>
      <c r="UFK3" s="15"/>
      <c r="UFL3" s="15"/>
      <c r="UFM3" s="15"/>
      <c r="UFN3" s="15"/>
      <c r="UFO3" s="15"/>
      <c r="UFP3" s="15"/>
      <c r="UFQ3" s="15"/>
      <c r="UFR3" s="15"/>
      <c r="UFS3" s="15"/>
      <c r="UFT3" s="15"/>
      <c r="UFU3" s="15"/>
      <c r="UFV3" s="15"/>
      <c r="UFW3" s="15"/>
      <c r="UFX3" s="15"/>
      <c r="UFY3" s="15"/>
      <c r="UFZ3" s="15"/>
      <c r="UGA3" s="15"/>
      <c r="UGB3" s="15"/>
      <c r="UGC3" s="15"/>
      <c r="UGD3" s="15"/>
      <c r="UGE3" s="15"/>
      <c r="UGF3" s="15"/>
      <c r="UGG3" s="15"/>
      <c r="UGH3" s="15"/>
      <c r="UGI3" s="15"/>
      <c r="UGJ3" s="15"/>
      <c r="UGK3" s="15"/>
      <c r="UGL3" s="15"/>
      <c r="UGM3" s="15"/>
      <c r="UGN3" s="15"/>
      <c r="UGO3" s="15"/>
      <c r="UGP3" s="15"/>
      <c r="UGQ3" s="15"/>
      <c r="UGR3" s="15"/>
      <c r="UGS3" s="15"/>
      <c r="UGT3" s="15"/>
      <c r="UGU3" s="15"/>
      <c r="UGV3" s="15"/>
      <c r="UGW3" s="15"/>
      <c r="UGX3" s="15"/>
      <c r="UGY3" s="15"/>
      <c r="UGZ3" s="15"/>
      <c r="UHA3" s="15"/>
      <c r="UHB3" s="15"/>
      <c r="UHC3" s="15"/>
      <c r="UHD3" s="15"/>
      <c r="UHE3" s="15"/>
      <c r="UHF3" s="15"/>
      <c r="UHG3" s="15"/>
      <c r="UHH3" s="15"/>
      <c r="UHI3" s="15"/>
      <c r="UHJ3" s="15"/>
      <c r="UHK3" s="15"/>
      <c r="UHL3" s="15"/>
      <c r="UHM3" s="15"/>
      <c r="UHN3" s="15"/>
      <c r="UHO3" s="15"/>
      <c r="UHP3" s="15"/>
      <c r="UHQ3" s="15"/>
      <c r="UHR3" s="15"/>
      <c r="UHS3" s="15"/>
      <c r="UHT3" s="15"/>
      <c r="UHU3" s="15"/>
      <c r="UHV3" s="15"/>
      <c r="UHW3" s="15"/>
      <c r="UHX3" s="15"/>
      <c r="UHY3" s="15"/>
      <c r="UHZ3" s="15"/>
      <c r="UIA3" s="15"/>
      <c r="UIB3" s="15"/>
      <c r="UIC3" s="15"/>
      <c r="UID3" s="15"/>
      <c r="UIE3" s="15"/>
      <c r="UIF3" s="15"/>
      <c r="UIG3" s="15"/>
      <c r="UIH3" s="15"/>
      <c r="UII3" s="15"/>
      <c r="UIJ3" s="15"/>
      <c r="UIK3" s="15"/>
      <c r="UIL3" s="15"/>
      <c r="UIM3" s="15"/>
      <c r="UIN3" s="15"/>
      <c r="UIO3" s="15"/>
      <c r="UIP3" s="15"/>
      <c r="UIQ3" s="15"/>
      <c r="UIR3" s="15"/>
      <c r="UIS3" s="15"/>
      <c r="UIT3" s="15"/>
      <c r="UIU3" s="15"/>
      <c r="UIV3" s="15"/>
      <c r="UIW3" s="15"/>
      <c r="UIX3" s="15"/>
      <c r="UIY3" s="15"/>
      <c r="UIZ3" s="15"/>
      <c r="UJA3" s="15"/>
      <c r="UJB3" s="15"/>
      <c r="UJC3" s="15"/>
      <c r="UJD3" s="15"/>
      <c r="UJE3" s="15"/>
      <c r="UJF3" s="15"/>
      <c r="UJG3" s="15"/>
      <c r="UJH3" s="15"/>
      <c r="UJI3" s="15"/>
      <c r="UJJ3" s="15"/>
      <c r="UJK3" s="15"/>
      <c r="UJL3" s="15"/>
      <c r="UJM3" s="15"/>
      <c r="UJN3" s="15"/>
      <c r="UJO3" s="15"/>
      <c r="UJP3" s="15"/>
      <c r="UJQ3" s="15"/>
      <c r="UJR3" s="15"/>
      <c r="UJS3" s="15"/>
      <c r="UJT3" s="15"/>
      <c r="UJU3" s="15"/>
      <c r="UJV3" s="15"/>
      <c r="UJW3" s="15"/>
      <c r="UJX3" s="15"/>
      <c r="UJY3" s="15"/>
      <c r="UJZ3" s="15"/>
      <c r="UKA3" s="15"/>
      <c r="UKB3" s="15"/>
      <c r="UKC3" s="15"/>
      <c r="UKD3" s="15"/>
      <c r="UKE3" s="15"/>
      <c r="UKF3" s="15"/>
      <c r="UKG3" s="15"/>
      <c r="UKH3" s="15"/>
      <c r="UKI3" s="15"/>
      <c r="UKJ3" s="15"/>
      <c r="UKK3" s="15"/>
      <c r="UKL3" s="15"/>
      <c r="UKM3" s="15"/>
      <c r="UKN3" s="15"/>
      <c r="UKO3" s="15"/>
      <c r="UKP3" s="15"/>
      <c r="UKQ3" s="15"/>
      <c r="UKR3" s="15"/>
      <c r="UKS3" s="15"/>
      <c r="UKT3" s="15"/>
      <c r="UKU3" s="15"/>
      <c r="UKV3" s="15"/>
      <c r="UKW3" s="15"/>
      <c r="UKX3" s="15"/>
      <c r="UKY3" s="15"/>
      <c r="UKZ3" s="15"/>
      <c r="ULA3" s="15"/>
      <c r="ULB3" s="15"/>
      <c r="ULC3" s="15"/>
      <c r="ULD3" s="15"/>
      <c r="ULE3" s="15"/>
      <c r="ULF3" s="15"/>
      <c r="ULG3" s="15"/>
      <c r="ULH3" s="15"/>
      <c r="ULI3" s="15"/>
      <c r="ULJ3" s="15"/>
      <c r="ULK3" s="15"/>
      <c r="ULL3" s="15"/>
      <c r="ULM3" s="15"/>
      <c r="ULN3" s="15"/>
      <c r="ULO3" s="15"/>
      <c r="ULP3" s="15"/>
      <c r="ULQ3" s="15"/>
      <c r="ULR3" s="15"/>
      <c r="ULS3" s="15"/>
      <c r="ULT3" s="15"/>
      <c r="ULU3" s="15"/>
      <c r="ULV3" s="15"/>
      <c r="ULW3" s="15"/>
      <c r="ULX3" s="15"/>
      <c r="ULY3" s="15"/>
      <c r="ULZ3" s="15"/>
      <c r="UMA3" s="15"/>
      <c r="UMB3" s="15"/>
      <c r="UMC3" s="15"/>
      <c r="UMD3" s="15"/>
      <c r="UME3" s="15"/>
      <c r="UMF3" s="15"/>
      <c r="UMG3" s="15"/>
      <c r="UMH3" s="15"/>
      <c r="UMI3" s="15"/>
      <c r="UMJ3" s="15"/>
      <c r="UMK3" s="15"/>
      <c r="UML3" s="15"/>
      <c r="UMM3" s="15"/>
      <c r="UMN3" s="15"/>
      <c r="UMO3" s="15"/>
      <c r="UMP3" s="15"/>
      <c r="UMQ3" s="15"/>
      <c r="UMR3" s="15"/>
      <c r="UMS3" s="15"/>
      <c r="UMT3" s="15"/>
      <c r="UMU3" s="15"/>
      <c r="UMV3" s="15"/>
      <c r="UMW3" s="15"/>
      <c r="UMX3" s="15"/>
      <c r="UMY3" s="15"/>
      <c r="UMZ3" s="15"/>
      <c r="UNA3" s="15"/>
      <c r="UNB3" s="15"/>
      <c r="UNC3" s="15"/>
      <c r="UND3" s="15"/>
      <c r="UNE3" s="15"/>
      <c r="UNF3" s="15"/>
      <c r="UNG3" s="15"/>
      <c r="UNH3" s="15"/>
      <c r="UNI3" s="15"/>
      <c r="UNJ3" s="15"/>
      <c r="UNK3" s="15"/>
      <c r="UNL3" s="15"/>
      <c r="UNM3" s="15"/>
      <c r="UNN3" s="15"/>
      <c r="UNO3" s="15"/>
      <c r="UNP3" s="15"/>
      <c r="UNQ3" s="15"/>
      <c r="UNR3" s="15"/>
      <c r="UNS3" s="15"/>
      <c r="UNT3" s="15"/>
      <c r="UNU3" s="15"/>
      <c r="UNV3" s="15"/>
      <c r="UNW3" s="15"/>
      <c r="UNX3" s="15"/>
      <c r="UNY3" s="15"/>
      <c r="UNZ3" s="15"/>
      <c r="UOA3" s="15"/>
      <c r="UOB3" s="15"/>
      <c r="UOC3" s="15"/>
      <c r="UOD3" s="15"/>
      <c r="UOE3" s="15"/>
      <c r="UOF3" s="15"/>
      <c r="UOG3" s="15"/>
      <c r="UOH3" s="15"/>
      <c r="UOI3" s="15"/>
      <c r="UOJ3" s="15"/>
      <c r="UOK3" s="15"/>
      <c r="UOL3" s="15"/>
      <c r="UOM3" s="15"/>
      <c r="UON3" s="15"/>
      <c r="UOO3" s="15"/>
      <c r="UOP3" s="15"/>
      <c r="UOQ3" s="15"/>
      <c r="UOR3" s="15"/>
      <c r="UOS3" s="15"/>
      <c r="UOT3" s="15"/>
      <c r="UOU3" s="15"/>
      <c r="UOV3" s="15"/>
      <c r="UOW3" s="15"/>
      <c r="UOX3" s="15"/>
      <c r="UOY3" s="15"/>
      <c r="UOZ3" s="15"/>
      <c r="UPA3" s="15"/>
      <c r="UPB3" s="15"/>
      <c r="UPC3" s="15"/>
      <c r="UPD3" s="15"/>
      <c r="UPE3" s="15"/>
      <c r="UPF3" s="15"/>
      <c r="UPG3" s="15"/>
      <c r="UPH3" s="15"/>
      <c r="UPI3" s="15"/>
      <c r="UPJ3" s="15"/>
      <c r="UPK3" s="15"/>
      <c r="UPL3" s="15"/>
      <c r="UPM3" s="15"/>
      <c r="UPN3" s="15"/>
      <c r="UPO3" s="15"/>
      <c r="UPP3" s="15"/>
      <c r="UPQ3" s="15"/>
      <c r="UPR3" s="15"/>
      <c r="UPS3" s="15"/>
      <c r="UPT3" s="15"/>
      <c r="UPU3" s="15"/>
      <c r="UPV3" s="15"/>
      <c r="UPW3" s="15"/>
      <c r="UPX3" s="15"/>
      <c r="UPY3" s="15"/>
      <c r="UPZ3" s="15"/>
      <c r="UQA3" s="15"/>
      <c r="UQB3" s="15"/>
      <c r="UQC3" s="15"/>
      <c r="UQD3" s="15"/>
      <c r="UQE3" s="15"/>
      <c r="UQF3" s="15"/>
      <c r="UQG3" s="15"/>
      <c r="UQH3" s="15"/>
      <c r="UQI3" s="15"/>
      <c r="UQJ3" s="15"/>
      <c r="UQK3" s="15"/>
      <c r="UQL3" s="15"/>
      <c r="UQM3" s="15"/>
      <c r="UQN3" s="15"/>
      <c r="UQO3" s="15"/>
      <c r="UQP3" s="15"/>
      <c r="UQQ3" s="15"/>
      <c r="UQR3" s="15"/>
      <c r="UQS3" s="15"/>
      <c r="UQT3" s="15"/>
      <c r="UQU3" s="15"/>
      <c r="UQV3" s="15"/>
      <c r="UQW3" s="15"/>
      <c r="UQX3" s="15"/>
      <c r="UQY3" s="15"/>
      <c r="UQZ3" s="15"/>
      <c r="URA3" s="15"/>
      <c r="URB3" s="15"/>
      <c r="URC3" s="15"/>
      <c r="URD3" s="15"/>
      <c r="URE3" s="15"/>
      <c r="URF3" s="15"/>
      <c r="URG3" s="15"/>
      <c r="URH3" s="15"/>
      <c r="URI3" s="15"/>
      <c r="URJ3" s="15"/>
      <c r="URK3" s="15"/>
      <c r="URL3" s="15"/>
      <c r="URM3" s="15"/>
      <c r="URN3" s="15"/>
      <c r="URO3" s="15"/>
      <c r="URP3" s="15"/>
      <c r="URQ3" s="15"/>
      <c r="URR3" s="15"/>
      <c r="URS3" s="15"/>
      <c r="URT3" s="15"/>
      <c r="URU3" s="15"/>
      <c r="URV3" s="15"/>
      <c r="URW3" s="15"/>
      <c r="URX3" s="15"/>
      <c r="URY3" s="15"/>
      <c r="URZ3" s="15"/>
      <c r="USA3" s="15"/>
      <c r="USB3" s="15"/>
      <c r="USC3" s="15"/>
      <c r="USD3" s="15"/>
      <c r="USE3" s="15"/>
      <c r="USF3" s="15"/>
      <c r="USG3" s="15"/>
      <c r="USH3" s="15"/>
      <c r="USI3" s="15"/>
      <c r="USJ3" s="15"/>
      <c r="USK3" s="15"/>
      <c r="USL3" s="15"/>
      <c r="USM3" s="15"/>
      <c r="USN3" s="15"/>
      <c r="USO3" s="15"/>
      <c r="USP3" s="15"/>
      <c r="USQ3" s="15"/>
      <c r="USR3" s="15"/>
      <c r="USS3" s="15"/>
      <c r="UST3" s="15"/>
      <c r="USU3" s="15"/>
      <c r="USV3" s="15"/>
      <c r="USW3" s="15"/>
      <c r="USX3" s="15"/>
      <c r="USY3" s="15"/>
      <c r="USZ3" s="15"/>
      <c r="UTA3" s="15"/>
      <c r="UTB3" s="15"/>
      <c r="UTC3" s="15"/>
      <c r="UTD3" s="15"/>
      <c r="UTE3" s="15"/>
      <c r="UTF3" s="15"/>
      <c r="UTG3" s="15"/>
      <c r="UTH3" s="15"/>
      <c r="UTI3" s="15"/>
      <c r="UTJ3" s="15"/>
      <c r="UTK3" s="15"/>
      <c r="UTL3" s="15"/>
      <c r="UTM3" s="15"/>
      <c r="UTN3" s="15"/>
      <c r="UTO3" s="15"/>
      <c r="UTP3" s="15"/>
      <c r="UTQ3" s="15"/>
      <c r="UTR3" s="15"/>
      <c r="UTS3" s="15"/>
      <c r="UTT3" s="15"/>
      <c r="UTU3" s="15"/>
      <c r="UTV3" s="15"/>
      <c r="UTW3" s="15"/>
      <c r="UTX3" s="15"/>
      <c r="UTY3" s="15"/>
      <c r="UTZ3" s="15"/>
      <c r="UUA3" s="15"/>
      <c r="UUB3" s="15"/>
      <c r="UUC3" s="15"/>
      <c r="UUD3" s="15"/>
      <c r="UUE3" s="15"/>
      <c r="UUF3" s="15"/>
      <c r="UUG3" s="15"/>
      <c r="UUH3" s="15"/>
      <c r="UUI3" s="15"/>
      <c r="UUJ3" s="15"/>
      <c r="UUK3" s="15"/>
      <c r="UUL3" s="15"/>
      <c r="UUM3" s="15"/>
      <c r="UUN3" s="15"/>
      <c r="UUO3" s="15"/>
      <c r="UUP3" s="15"/>
      <c r="UUQ3" s="15"/>
      <c r="UUR3" s="15"/>
      <c r="UUS3" s="15"/>
      <c r="UUT3" s="15"/>
      <c r="UUU3" s="15"/>
      <c r="UUV3" s="15"/>
      <c r="UUW3" s="15"/>
      <c r="UUX3" s="15"/>
      <c r="UUY3" s="15"/>
      <c r="UUZ3" s="15"/>
      <c r="UVA3" s="15"/>
      <c r="UVB3" s="15"/>
      <c r="UVC3" s="15"/>
      <c r="UVD3" s="15"/>
      <c r="UVE3" s="15"/>
      <c r="UVF3" s="15"/>
      <c r="UVG3" s="15"/>
      <c r="UVH3" s="15"/>
      <c r="UVI3" s="15"/>
      <c r="UVJ3" s="15"/>
      <c r="UVK3" s="15"/>
      <c r="UVL3" s="15"/>
      <c r="UVM3" s="15"/>
      <c r="UVN3" s="15"/>
      <c r="UVO3" s="15"/>
      <c r="UVP3" s="15"/>
      <c r="UVQ3" s="15"/>
      <c r="UVR3" s="15"/>
      <c r="UVS3" s="15"/>
      <c r="UVT3" s="15"/>
      <c r="UVU3" s="15"/>
      <c r="UVV3" s="15"/>
      <c r="UVW3" s="15"/>
      <c r="UVX3" s="15"/>
      <c r="UVY3" s="15"/>
      <c r="UVZ3" s="15"/>
      <c r="UWA3" s="15"/>
      <c r="UWB3" s="15"/>
      <c r="UWC3" s="15"/>
      <c r="UWD3" s="15"/>
      <c r="UWE3" s="15"/>
      <c r="UWF3" s="15"/>
      <c r="UWG3" s="15"/>
      <c r="UWH3" s="15"/>
      <c r="UWI3" s="15"/>
      <c r="UWJ3" s="15"/>
      <c r="UWK3" s="15"/>
      <c r="UWL3" s="15"/>
      <c r="UWM3" s="15"/>
      <c r="UWN3" s="15"/>
      <c r="UWO3" s="15"/>
      <c r="UWP3" s="15"/>
      <c r="UWQ3" s="15"/>
      <c r="UWR3" s="15"/>
      <c r="UWS3" s="15"/>
      <c r="UWT3" s="15"/>
      <c r="UWU3" s="15"/>
      <c r="UWV3" s="15"/>
      <c r="UWW3" s="15"/>
      <c r="UWX3" s="15"/>
      <c r="UWY3" s="15"/>
      <c r="UWZ3" s="15"/>
      <c r="UXA3" s="15"/>
      <c r="UXB3" s="15"/>
      <c r="UXC3" s="15"/>
      <c r="UXD3" s="15"/>
      <c r="UXE3" s="15"/>
      <c r="UXF3" s="15"/>
      <c r="UXG3" s="15"/>
      <c r="UXH3" s="15"/>
      <c r="UXI3" s="15"/>
      <c r="UXJ3" s="15"/>
      <c r="UXK3" s="15"/>
      <c r="UXL3" s="15"/>
      <c r="UXM3" s="15"/>
      <c r="UXN3" s="15"/>
      <c r="UXO3" s="15"/>
      <c r="UXP3" s="15"/>
      <c r="UXQ3" s="15"/>
      <c r="UXR3" s="15"/>
      <c r="UXS3" s="15"/>
      <c r="UXT3" s="15"/>
      <c r="UXU3" s="15"/>
      <c r="UXV3" s="15"/>
      <c r="UXW3" s="15"/>
      <c r="UXX3" s="15"/>
      <c r="UXY3" s="15"/>
      <c r="UXZ3" s="15"/>
      <c r="UYA3" s="15"/>
      <c r="UYB3" s="15"/>
      <c r="UYC3" s="15"/>
      <c r="UYD3" s="15"/>
      <c r="UYE3" s="15"/>
      <c r="UYF3" s="15"/>
      <c r="UYG3" s="15"/>
      <c r="UYH3" s="15"/>
      <c r="UYI3" s="15"/>
      <c r="UYJ3" s="15"/>
      <c r="UYK3" s="15"/>
      <c r="UYL3" s="15"/>
      <c r="UYM3" s="15"/>
      <c r="UYN3" s="15"/>
      <c r="UYO3" s="15"/>
      <c r="UYP3" s="15"/>
      <c r="UYQ3" s="15"/>
      <c r="UYR3" s="15"/>
      <c r="UYS3" s="15"/>
      <c r="UYT3" s="15"/>
      <c r="UYU3" s="15"/>
      <c r="UYV3" s="15"/>
      <c r="UYW3" s="15"/>
      <c r="UYX3" s="15"/>
      <c r="UYY3" s="15"/>
      <c r="UYZ3" s="15"/>
      <c r="UZA3" s="15"/>
      <c r="UZB3" s="15"/>
      <c r="UZC3" s="15"/>
      <c r="UZD3" s="15"/>
      <c r="UZE3" s="15"/>
      <c r="UZF3" s="15"/>
      <c r="UZG3" s="15"/>
      <c r="UZH3" s="15"/>
      <c r="UZI3" s="15"/>
      <c r="UZJ3" s="15"/>
      <c r="UZK3" s="15"/>
      <c r="UZL3" s="15"/>
      <c r="UZM3" s="15"/>
      <c r="UZN3" s="15"/>
      <c r="UZO3" s="15"/>
      <c r="UZP3" s="15"/>
      <c r="UZQ3" s="15"/>
      <c r="UZR3" s="15"/>
      <c r="UZS3" s="15"/>
      <c r="UZT3" s="15"/>
      <c r="UZU3" s="15"/>
      <c r="UZV3" s="15"/>
      <c r="UZW3" s="15"/>
      <c r="UZX3" s="15"/>
      <c r="UZY3" s="15"/>
      <c r="UZZ3" s="15"/>
      <c r="VAA3" s="15"/>
      <c r="VAB3" s="15"/>
      <c r="VAC3" s="15"/>
      <c r="VAD3" s="15"/>
      <c r="VAE3" s="15"/>
      <c r="VAF3" s="15"/>
      <c r="VAG3" s="15"/>
      <c r="VAH3" s="15"/>
      <c r="VAI3" s="15"/>
      <c r="VAJ3" s="15"/>
      <c r="VAK3" s="15"/>
      <c r="VAL3" s="15"/>
      <c r="VAM3" s="15"/>
      <c r="VAN3" s="15"/>
      <c r="VAO3" s="15"/>
      <c r="VAP3" s="15"/>
      <c r="VAQ3" s="15"/>
      <c r="VAR3" s="15"/>
      <c r="VAS3" s="15"/>
      <c r="VAT3" s="15"/>
      <c r="VAU3" s="15"/>
      <c r="VAV3" s="15"/>
      <c r="VAW3" s="15"/>
      <c r="VAX3" s="15"/>
      <c r="VAY3" s="15"/>
      <c r="VAZ3" s="15"/>
      <c r="VBA3" s="15"/>
      <c r="VBB3" s="15"/>
      <c r="VBC3" s="15"/>
      <c r="VBD3" s="15"/>
      <c r="VBE3" s="15"/>
      <c r="VBF3" s="15"/>
      <c r="VBG3" s="15"/>
      <c r="VBH3" s="15"/>
      <c r="VBI3" s="15"/>
      <c r="VBJ3" s="15"/>
      <c r="VBK3" s="15"/>
      <c r="VBL3" s="15"/>
      <c r="VBM3" s="15"/>
      <c r="VBN3" s="15"/>
      <c r="VBO3" s="15"/>
      <c r="VBP3" s="15"/>
      <c r="VBQ3" s="15"/>
      <c r="VBR3" s="15"/>
      <c r="VBS3" s="15"/>
      <c r="VBT3" s="15"/>
      <c r="VBU3" s="15"/>
      <c r="VBV3" s="15"/>
      <c r="VBW3" s="15"/>
      <c r="VBX3" s="15"/>
      <c r="VBY3" s="15"/>
      <c r="VBZ3" s="15"/>
      <c r="VCA3" s="15"/>
      <c r="VCB3" s="15"/>
      <c r="VCC3" s="15"/>
      <c r="VCD3" s="15"/>
      <c r="VCE3" s="15"/>
      <c r="VCF3" s="15"/>
      <c r="VCG3" s="15"/>
      <c r="VCH3" s="15"/>
      <c r="VCI3" s="15"/>
      <c r="VCJ3" s="15"/>
      <c r="VCK3" s="15"/>
      <c r="VCL3" s="15"/>
      <c r="VCM3" s="15"/>
      <c r="VCN3" s="15"/>
      <c r="VCO3" s="15"/>
      <c r="VCP3" s="15"/>
      <c r="VCQ3" s="15"/>
      <c r="VCR3" s="15"/>
      <c r="VCS3" s="15"/>
      <c r="VCT3" s="15"/>
      <c r="VCU3" s="15"/>
      <c r="VCV3" s="15"/>
      <c r="VCW3" s="15"/>
      <c r="VCX3" s="15"/>
      <c r="VCY3" s="15"/>
      <c r="VCZ3" s="15"/>
      <c r="VDA3" s="15"/>
      <c r="VDB3" s="15"/>
      <c r="VDC3" s="15"/>
      <c r="VDD3" s="15"/>
      <c r="VDE3" s="15"/>
      <c r="VDF3" s="15"/>
      <c r="VDG3" s="15"/>
      <c r="VDH3" s="15"/>
      <c r="VDI3" s="15"/>
      <c r="VDJ3" s="15"/>
      <c r="VDK3" s="15"/>
      <c r="VDL3" s="15"/>
      <c r="VDM3" s="15"/>
      <c r="VDN3" s="15"/>
      <c r="VDO3" s="15"/>
      <c r="VDP3" s="15"/>
      <c r="VDQ3" s="15"/>
      <c r="VDR3" s="15"/>
      <c r="VDS3" s="15"/>
      <c r="VDT3" s="15"/>
      <c r="VDU3" s="15"/>
      <c r="VDV3" s="15"/>
      <c r="VDW3" s="15"/>
      <c r="VDX3" s="15"/>
      <c r="VDY3" s="15"/>
      <c r="VDZ3" s="15"/>
      <c r="VEA3" s="15"/>
      <c r="VEB3" s="15"/>
      <c r="VEC3" s="15"/>
      <c r="VED3" s="15"/>
      <c r="VEE3" s="15"/>
      <c r="VEF3" s="15"/>
      <c r="VEG3" s="15"/>
      <c r="VEH3" s="15"/>
      <c r="VEI3" s="15"/>
      <c r="VEJ3" s="15"/>
      <c r="VEK3" s="15"/>
      <c r="VEL3" s="15"/>
      <c r="VEM3" s="15"/>
      <c r="VEN3" s="15"/>
      <c r="VEO3" s="15"/>
      <c r="VEP3" s="15"/>
      <c r="VEQ3" s="15"/>
      <c r="VER3" s="15"/>
      <c r="VES3" s="15"/>
      <c r="VET3" s="15"/>
      <c r="VEU3" s="15"/>
      <c r="VEV3" s="15"/>
      <c r="VEW3" s="15"/>
      <c r="VEX3" s="15"/>
      <c r="VEY3" s="15"/>
      <c r="VEZ3" s="15"/>
      <c r="VFA3" s="15"/>
      <c r="VFB3" s="15"/>
      <c r="VFC3" s="15"/>
      <c r="VFD3" s="15"/>
      <c r="VFE3" s="15"/>
      <c r="VFF3" s="15"/>
      <c r="VFG3" s="15"/>
      <c r="VFH3" s="15"/>
      <c r="VFI3" s="15"/>
      <c r="VFJ3" s="15"/>
      <c r="VFK3" s="15"/>
      <c r="VFL3" s="15"/>
      <c r="VFM3" s="15"/>
      <c r="VFN3" s="15"/>
      <c r="VFO3" s="15"/>
      <c r="VFP3" s="15"/>
      <c r="VFQ3" s="15"/>
      <c r="VFR3" s="15"/>
      <c r="VFS3" s="15"/>
      <c r="VFT3" s="15"/>
      <c r="VFU3" s="15"/>
      <c r="VFV3" s="15"/>
      <c r="VFW3" s="15"/>
      <c r="VFX3" s="15"/>
      <c r="VFY3" s="15"/>
      <c r="VFZ3" s="15"/>
      <c r="VGA3" s="15"/>
      <c r="VGB3" s="15"/>
      <c r="VGC3" s="15"/>
      <c r="VGD3" s="15"/>
      <c r="VGE3" s="15"/>
      <c r="VGF3" s="15"/>
      <c r="VGG3" s="15"/>
      <c r="VGH3" s="15"/>
      <c r="VGI3" s="15"/>
      <c r="VGJ3" s="15"/>
      <c r="VGK3" s="15"/>
      <c r="VGL3" s="15"/>
      <c r="VGM3" s="15"/>
      <c r="VGN3" s="15"/>
      <c r="VGO3" s="15"/>
      <c r="VGP3" s="15"/>
      <c r="VGQ3" s="15"/>
      <c r="VGR3" s="15"/>
      <c r="VGS3" s="15"/>
      <c r="VGT3" s="15"/>
      <c r="VGU3" s="15"/>
      <c r="VGV3" s="15"/>
      <c r="VGW3" s="15"/>
      <c r="VGX3" s="15"/>
      <c r="VGY3" s="15"/>
      <c r="VGZ3" s="15"/>
      <c r="VHA3" s="15"/>
      <c r="VHB3" s="15"/>
      <c r="VHC3" s="15"/>
      <c r="VHD3" s="15"/>
      <c r="VHE3" s="15"/>
      <c r="VHF3" s="15"/>
      <c r="VHG3" s="15"/>
      <c r="VHH3" s="15"/>
      <c r="VHI3" s="15"/>
      <c r="VHJ3" s="15"/>
      <c r="VHK3" s="15"/>
      <c r="VHL3" s="15"/>
      <c r="VHM3" s="15"/>
      <c r="VHN3" s="15"/>
      <c r="VHO3" s="15"/>
      <c r="VHP3" s="15"/>
      <c r="VHQ3" s="15"/>
      <c r="VHR3" s="15"/>
      <c r="VHS3" s="15"/>
      <c r="VHT3" s="15"/>
      <c r="VHU3" s="15"/>
      <c r="VHV3" s="15"/>
      <c r="VHW3" s="15"/>
      <c r="VHX3" s="15"/>
      <c r="VHY3" s="15"/>
      <c r="VHZ3" s="15"/>
      <c r="VIA3" s="15"/>
      <c r="VIB3" s="15"/>
      <c r="VIC3" s="15"/>
      <c r="VID3" s="15"/>
      <c r="VIE3" s="15"/>
      <c r="VIF3" s="15"/>
      <c r="VIG3" s="15"/>
      <c r="VIH3" s="15"/>
      <c r="VII3" s="15"/>
      <c r="VIJ3" s="15"/>
      <c r="VIK3" s="15"/>
      <c r="VIL3" s="15"/>
      <c r="VIM3" s="15"/>
      <c r="VIN3" s="15"/>
      <c r="VIO3" s="15"/>
      <c r="VIP3" s="15"/>
      <c r="VIQ3" s="15"/>
      <c r="VIR3" s="15"/>
      <c r="VIS3" s="15"/>
      <c r="VIT3" s="15"/>
      <c r="VIU3" s="15"/>
      <c r="VIV3" s="15"/>
      <c r="VIW3" s="15"/>
      <c r="VIX3" s="15"/>
      <c r="VIY3" s="15"/>
      <c r="VIZ3" s="15"/>
      <c r="VJA3" s="15"/>
      <c r="VJB3" s="15"/>
      <c r="VJC3" s="15"/>
      <c r="VJD3" s="15"/>
      <c r="VJE3" s="15"/>
      <c r="VJF3" s="15"/>
      <c r="VJG3" s="15"/>
      <c r="VJH3" s="15"/>
      <c r="VJI3" s="15"/>
      <c r="VJJ3" s="15"/>
      <c r="VJK3" s="15"/>
      <c r="VJL3" s="15"/>
      <c r="VJM3" s="15"/>
      <c r="VJN3" s="15"/>
      <c r="VJO3" s="15"/>
      <c r="VJP3" s="15"/>
      <c r="VJQ3" s="15"/>
      <c r="VJR3" s="15"/>
      <c r="VJS3" s="15"/>
      <c r="VJT3" s="15"/>
      <c r="VJU3" s="15"/>
      <c r="VJV3" s="15"/>
      <c r="VJW3" s="15"/>
      <c r="VJX3" s="15"/>
      <c r="VJY3" s="15"/>
      <c r="VJZ3" s="15"/>
      <c r="VKA3" s="15"/>
      <c r="VKB3" s="15"/>
      <c r="VKC3" s="15"/>
      <c r="VKD3" s="15"/>
      <c r="VKE3" s="15"/>
      <c r="VKF3" s="15"/>
      <c r="VKG3" s="15"/>
      <c r="VKH3" s="15"/>
      <c r="VKI3" s="15"/>
      <c r="VKJ3" s="15"/>
      <c r="VKK3" s="15"/>
      <c r="VKL3" s="15"/>
      <c r="VKM3" s="15"/>
      <c r="VKN3" s="15"/>
      <c r="VKO3" s="15"/>
      <c r="VKP3" s="15"/>
      <c r="VKQ3" s="15"/>
      <c r="VKR3" s="15"/>
      <c r="VKS3" s="15"/>
      <c r="VKT3" s="15"/>
      <c r="VKU3" s="15"/>
      <c r="VKV3" s="15"/>
      <c r="VKW3" s="15"/>
      <c r="VKX3" s="15"/>
      <c r="VKY3" s="15"/>
      <c r="VKZ3" s="15"/>
      <c r="VLA3" s="15"/>
      <c r="VLB3" s="15"/>
      <c r="VLC3" s="15"/>
      <c r="VLD3" s="15"/>
      <c r="VLE3" s="15"/>
      <c r="VLF3" s="15"/>
      <c r="VLG3" s="15"/>
      <c r="VLH3" s="15"/>
      <c r="VLI3" s="15"/>
      <c r="VLJ3" s="15"/>
      <c r="VLK3" s="15"/>
      <c r="VLL3" s="15"/>
      <c r="VLM3" s="15"/>
      <c r="VLN3" s="15"/>
      <c r="VLO3" s="15"/>
      <c r="VLP3" s="15"/>
      <c r="VLQ3" s="15"/>
      <c r="VLR3" s="15"/>
      <c r="VLS3" s="15"/>
      <c r="VLT3" s="15"/>
      <c r="VLU3" s="15"/>
      <c r="VLV3" s="15"/>
      <c r="VLW3" s="15"/>
      <c r="VLX3" s="15"/>
      <c r="VLY3" s="15"/>
      <c r="VLZ3" s="15"/>
      <c r="VMA3" s="15"/>
      <c r="VMB3" s="15"/>
      <c r="VMC3" s="15"/>
      <c r="VMD3" s="15"/>
      <c r="VME3" s="15"/>
      <c r="VMF3" s="15"/>
      <c r="VMG3" s="15"/>
      <c r="VMH3" s="15"/>
      <c r="VMI3" s="15"/>
      <c r="VMJ3" s="15"/>
      <c r="VMK3" s="15"/>
      <c r="VML3" s="15"/>
      <c r="VMM3" s="15"/>
      <c r="VMN3" s="15"/>
      <c r="VMO3" s="15"/>
      <c r="VMP3" s="15"/>
      <c r="VMQ3" s="15"/>
      <c r="VMR3" s="15"/>
      <c r="VMS3" s="15"/>
      <c r="VMT3" s="15"/>
      <c r="VMU3" s="15"/>
      <c r="VMV3" s="15"/>
      <c r="VMW3" s="15"/>
      <c r="VMX3" s="15"/>
      <c r="VMY3" s="15"/>
      <c r="VMZ3" s="15"/>
      <c r="VNA3" s="15"/>
      <c r="VNB3" s="15"/>
      <c r="VNC3" s="15"/>
      <c r="VND3" s="15"/>
      <c r="VNE3" s="15"/>
      <c r="VNF3" s="15"/>
      <c r="VNG3" s="15"/>
      <c r="VNH3" s="15"/>
      <c r="VNI3" s="15"/>
      <c r="VNJ3" s="15"/>
      <c r="VNK3" s="15"/>
      <c r="VNL3" s="15"/>
      <c r="VNM3" s="15"/>
      <c r="VNN3" s="15"/>
      <c r="VNO3" s="15"/>
      <c r="VNP3" s="15"/>
      <c r="VNQ3" s="15"/>
      <c r="VNR3" s="15"/>
      <c r="VNS3" s="15"/>
      <c r="VNT3" s="15"/>
      <c r="VNU3" s="15"/>
      <c r="VNV3" s="15"/>
      <c r="VNW3" s="15"/>
      <c r="VNX3" s="15"/>
      <c r="VNY3" s="15"/>
      <c r="VNZ3" s="15"/>
      <c r="VOA3" s="15"/>
      <c r="VOB3" s="15"/>
      <c r="VOC3" s="15"/>
      <c r="VOD3" s="15"/>
      <c r="VOE3" s="15"/>
      <c r="VOF3" s="15"/>
      <c r="VOG3" s="15"/>
      <c r="VOH3" s="15"/>
      <c r="VOI3" s="15"/>
      <c r="VOJ3" s="15"/>
      <c r="VOK3" s="15"/>
      <c r="VOL3" s="15"/>
      <c r="VOM3" s="15"/>
      <c r="VON3" s="15"/>
      <c r="VOO3" s="15"/>
      <c r="VOP3" s="15"/>
      <c r="VOQ3" s="15"/>
      <c r="VOR3" s="15"/>
      <c r="VOS3" s="15"/>
      <c r="VOT3" s="15"/>
      <c r="VOU3" s="15"/>
      <c r="VOV3" s="15"/>
      <c r="VOW3" s="15"/>
      <c r="VOX3" s="15"/>
      <c r="VOY3" s="15"/>
      <c r="VOZ3" s="15"/>
      <c r="VPA3" s="15"/>
      <c r="VPB3" s="15"/>
      <c r="VPC3" s="15"/>
      <c r="VPD3" s="15"/>
      <c r="VPE3" s="15"/>
      <c r="VPF3" s="15"/>
      <c r="VPG3" s="15"/>
      <c r="VPH3" s="15"/>
      <c r="VPI3" s="15"/>
      <c r="VPJ3" s="15"/>
      <c r="VPK3" s="15"/>
      <c r="VPL3" s="15"/>
      <c r="VPM3" s="15"/>
      <c r="VPN3" s="15"/>
      <c r="VPO3" s="15"/>
      <c r="VPP3" s="15"/>
      <c r="VPQ3" s="15"/>
      <c r="VPR3" s="15"/>
      <c r="VPS3" s="15"/>
      <c r="VPT3" s="15"/>
      <c r="VPU3" s="15"/>
      <c r="VPV3" s="15"/>
      <c r="VPW3" s="15"/>
      <c r="VPX3" s="15"/>
      <c r="VPY3" s="15"/>
      <c r="VPZ3" s="15"/>
      <c r="VQA3" s="15"/>
      <c r="VQB3" s="15"/>
      <c r="VQC3" s="15"/>
      <c r="VQD3" s="15"/>
      <c r="VQE3" s="15"/>
      <c r="VQF3" s="15"/>
      <c r="VQG3" s="15"/>
      <c r="VQH3" s="15"/>
      <c r="VQI3" s="15"/>
      <c r="VQJ3" s="15"/>
      <c r="VQK3" s="15"/>
      <c r="VQL3" s="15"/>
      <c r="VQM3" s="15"/>
      <c r="VQN3" s="15"/>
      <c r="VQO3" s="15"/>
      <c r="VQP3" s="15"/>
      <c r="VQQ3" s="15"/>
      <c r="VQR3" s="15"/>
      <c r="VQS3" s="15"/>
      <c r="VQT3" s="15"/>
      <c r="VQU3" s="15"/>
      <c r="VQV3" s="15"/>
      <c r="VQW3" s="15"/>
      <c r="VQX3" s="15"/>
      <c r="VQY3" s="15"/>
      <c r="VQZ3" s="15"/>
      <c r="VRA3" s="15"/>
      <c r="VRB3" s="15"/>
      <c r="VRC3" s="15"/>
      <c r="VRD3" s="15"/>
      <c r="VRE3" s="15"/>
      <c r="VRF3" s="15"/>
      <c r="VRG3" s="15"/>
      <c r="VRH3" s="15"/>
      <c r="VRI3" s="15"/>
      <c r="VRJ3" s="15"/>
      <c r="VRK3" s="15"/>
      <c r="VRL3" s="15"/>
      <c r="VRM3" s="15"/>
      <c r="VRN3" s="15"/>
      <c r="VRO3" s="15"/>
      <c r="VRP3" s="15"/>
      <c r="VRQ3" s="15"/>
      <c r="VRR3" s="15"/>
      <c r="VRS3" s="15"/>
      <c r="VRT3" s="15"/>
      <c r="VRU3" s="15"/>
      <c r="VRV3" s="15"/>
      <c r="VRW3" s="15"/>
      <c r="VRX3" s="15"/>
      <c r="VRY3" s="15"/>
      <c r="VRZ3" s="15"/>
      <c r="VSA3" s="15"/>
      <c r="VSB3" s="15"/>
      <c r="VSC3" s="15"/>
      <c r="VSD3" s="15"/>
      <c r="VSE3" s="15"/>
      <c r="VSF3" s="15"/>
      <c r="VSG3" s="15"/>
      <c r="VSH3" s="15"/>
      <c r="VSI3" s="15"/>
      <c r="VSJ3" s="15"/>
      <c r="VSK3" s="15"/>
      <c r="VSL3" s="15"/>
      <c r="VSM3" s="15"/>
      <c r="VSN3" s="15"/>
      <c r="VSO3" s="15"/>
      <c r="VSP3" s="15"/>
      <c r="VSQ3" s="15"/>
      <c r="VSR3" s="15"/>
      <c r="VSS3" s="15"/>
      <c r="VST3" s="15"/>
      <c r="VSU3" s="15"/>
      <c r="VSV3" s="15"/>
      <c r="VSW3" s="15"/>
      <c r="VSX3" s="15"/>
      <c r="VSY3" s="15"/>
      <c r="VSZ3" s="15"/>
      <c r="VTA3" s="15"/>
      <c r="VTB3" s="15"/>
      <c r="VTC3" s="15"/>
      <c r="VTD3" s="15"/>
      <c r="VTE3" s="15"/>
      <c r="VTF3" s="15"/>
      <c r="VTG3" s="15"/>
      <c r="VTH3" s="15"/>
      <c r="VTI3" s="15"/>
      <c r="VTJ3" s="15"/>
      <c r="VTK3" s="15"/>
      <c r="VTL3" s="15"/>
      <c r="VTM3" s="15"/>
      <c r="VTN3" s="15"/>
      <c r="VTO3" s="15"/>
      <c r="VTP3" s="15"/>
      <c r="VTQ3" s="15"/>
      <c r="VTR3" s="15"/>
      <c r="VTS3" s="15"/>
      <c r="VTT3" s="15"/>
      <c r="VTU3" s="15"/>
      <c r="VTV3" s="15"/>
      <c r="VTW3" s="15"/>
      <c r="VTX3" s="15"/>
      <c r="VTY3" s="15"/>
      <c r="VTZ3" s="15"/>
      <c r="VUA3" s="15"/>
      <c r="VUB3" s="15"/>
      <c r="VUC3" s="15"/>
      <c r="VUD3" s="15"/>
      <c r="VUE3" s="15"/>
      <c r="VUF3" s="15"/>
      <c r="VUG3" s="15"/>
      <c r="VUH3" s="15"/>
      <c r="VUI3" s="15"/>
      <c r="VUJ3" s="15"/>
      <c r="VUK3" s="15"/>
      <c r="VUL3" s="15"/>
      <c r="VUM3" s="15"/>
      <c r="VUN3" s="15"/>
      <c r="VUO3" s="15"/>
      <c r="VUP3" s="15"/>
      <c r="VUQ3" s="15"/>
      <c r="VUR3" s="15"/>
      <c r="VUS3" s="15"/>
      <c r="VUT3" s="15"/>
      <c r="VUU3" s="15"/>
      <c r="VUV3" s="15"/>
      <c r="VUW3" s="15"/>
      <c r="VUX3" s="15"/>
      <c r="VUY3" s="15"/>
      <c r="VUZ3" s="15"/>
      <c r="VVA3" s="15"/>
      <c r="VVB3" s="15"/>
      <c r="VVC3" s="15"/>
      <c r="VVD3" s="15"/>
      <c r="VVE3" s="15"/>
      <c r="VVF3" s="15"/>
      <c r="VVG3" s="15"/>
      <c r="VVH3" s="15"/>
      <c r="VVI3" s="15"/>
      <c r="VVJ3" s="15"/>
      <c r="VVK3" s="15"/>
      <c r="VVL3" s="15"/>
      <c r="VVM3" s="15"/>
      <c r="VVN3" s="15"/>
      <c r="VVO3" s="15"/>
      <c r="VVP3" s="15"/>
      <c r="VVQ3" s="15"/>
      <c r="VVR3" s="15"/>
      <c r="VVS3" s="15"/>
      <c r="VVT3" s="15"/>
      <c r="VVU3" s="15"/>
      <c r="VVV3" s="15"/>
      <c r="VVW3" s="15"/>
      <c r="VVX3" s="15"/>
      <c r="VVY3" s="15"/>
      <c r="VVZ3" s="15"/>
      <c r="VWA3" s="15"/>
      <c r="VWB3" s="15"/>
      <c r="VWC3" s="15"/>
      <c r="VWD3" s="15"/>
      <c r="VWE3" s="15"/>
      <c r="VWF3" s="15"/>
      <c r="VWG3" s="15"/>
      <c r="VWH3" s="15"/>
      <c r="VWI3" s="15"/>
      <c r="VWJ3" s="15"/>
      <c r="VWK3" s="15"/>
      <c r="VWL3" s="15"/>
      <c r="VWM3" s="15"/>
      <c r="VWN3" s="15"/>
      <c r="VWO3" s="15"/>
      <c r="VWP3" s="15"/>
      <c r="VWQ3" s="15"/>
      <c r="VWR3" s="15"/>
      <c r="VWS3" s="15"/>
      <c r="VWT3" s="15"/>
      <c r="VWU3" s="15"/>
      <c r="VWV3" s="15"/>
      <c r="VWW3" s="15"/>
      <c r="VWX3" s="15"/>
      <c r="VWY3" s="15"/>
      <c r="VWZ3" s="15"/>
      <c r="VXA3" s="15"/>
      <c r="VXB3" s="15"/>
      <c r="VXC3" s="15"/>
      <c r="VXD3" s="15"/>
      <c r="VXE3" s="15"/>
      <c r="VXF3" s="15"/>
      <c r="VXG3" s="15"/>
      <c r="VXH3" s="15"/>
      <c r="VXI3" s="15"/>
      <c r="VXJ3" s="15"/>
      <c r="VXK3" s="15"/>
      <c r="VXL3" s="15"/>
      <c r="VXM3" s="15"/>
      <c r="VXN3" s="15"/>
      <c r="VXO3" s="15"/>
      <c r="VXP3" s="15"/>
      <c r="VXQ3" s="15"/>
      <c r="VXR3" s="15"/>
      <c r="VXS3" s="15"/>
      <c r="VXT3" s="15"/>
      <c r="VXU3" s="15"/>
      <c r="VXV3" s="15"/>
      <c r="VXW3" s="15"/>
      <c r="VXX3" s="15"/>
      <c r="VXY3" s="15"/>
      <c r="VXZ3" s="15"/>
      <c r="VYA3" s="15"/>
      <c r="VYB3" s="15"/>
      <c r="VYC3" s="15"/>
      <c r="VYD3" s="15"/>
      <c r="VYE3" s="15"/>
      <c r="VYF3" s="15"/>
      <c r="VYG3" s="15"/>
      <c r="VYH3" s="15"/>
      <c r="VYI3" s="15"/>
      <c r="VYJ3" s="15"/>
      <c r="VYK3" s="15"/>
      <c r="VYL3" s="15"/>
      <c r="VYM3" s="15"/>
      <c r="VYN3" s="15"/>
      <c r="VYO3" s="15"/>
      <c r="VYP3" s="15"/>
      <c r="VYQ3" s="15"/>
      <c r="VYR3" s="15"/>
      <c r="VYS3" s="15"/>
      <c r="VYT3" s="15"/>
      <c r="VYU3" s="15"/>
      <c r="VYV3" s="15"/>
      <c r="VYW3" s="15"/>
      <c r="VYX3" s="15"/>
      <c r="VYY3" s="15"/>
      <c r="VYZ3" s="15"/>
      <c r="VZA3" s="15"/>
      <c r="VZB3" s="15"/>
      <c r="VZC3" s="15"/>
      <c r="VZD3" s="15"/>
      <c r="VZE3" s="15"/>
      <c r="VZF3" s="15"/>
      <c r="VZG3" s="15"/>
      <c r="VZH3" s="15"/>
      <c r="VZI3" s="15"/>
      <c r="VZJ3" s="15"/>
      <c r="VZK3" s="15"/>
      <c r="VZL3" s="15"/>
      <c r="VZM3" s="15"/>
      <c r="VZN3" s="15"/>
      <c r="VZO3" s="15"/>
      <c r="VZP3" s="15"/>
      <c r="VZQ3" s="15"/>
      <c r="VZR3" s="15"/>
      <c r="VZS3" s="15"/>
      <c r="VZT3" s="15"/>
      <c r="VZU3" s="15"/>
      <c r="VZV3" s="15"/>
      <c r="VZW3" s="15"/>
      <c r="VZX3" s="15"/>
      <c r="VZY3" s="15"/>
      <c r="VZZ3" s="15"/>
      <c r="WAA3" s="15"/>
      <c r="WAB3" s="15"/>
      <c r="WAC3" s="15"/>
      <c r="WAD3" s="15"/>
      <c r="WAE3" s="15"/>
      <c r="WAF3" s="15"/>
      <c r="WAG3" s="15"/>
      <c r="WAH3" s="15"/>
      <c r="WAI3" s="15"/>
      <c r="WAJ3" s="15"/>
      <c r="WAK3" s="15"/>
      <c r="WAL3" s="15"/>
      <c r="WAM3" s="15"/>
      <c r="WAN3" s="15"/>
      <c r="WAO3" s="15"/>
      <c r="WAP3" s="15"/>
      <c r="WAQ3" s="15"/>
      <c r="WAR3" s="15"/>
      <c r="WAS3" s="15"/>
      <c r="WAT3" s="15"/>
      <c r="WAU3" s="15"/>
      <c r="WAV3" s="15"/>
      <c r="WAW3" s="15"/>
      <c r="WAX3" s="15"/>
      <c r="WAY3" s="15"/>
      <c r="WAZ3" s="15"/>
      <c r="WBA3" s="15"/>
      <c r="WBB3" s="15"/>
      <c r="WBC3" s="15"/>
      <c r="WBD3" s="15"/>
      <c r="WBE3" s="15"/>
      <c r="WBF3" s="15"/>
      <c r="WBG3" s="15"/>
      <c r="WBH3" s="15"/>
      <c r="WBI3" s="15"/>
      <c r="WBJ3" s="15"/>
      <c r="WBK3" s="15"/>
      <c r="WBL3" s="15"/>
      <c r="WBM3" s="15"/>
      <c r="WBN3" s="15"/>
      <c r="WBO3" s="15"/>
      <c r="WBP3" s="15"/>
      <c r="WBQ3" s="15"/>
      <c r="WBR3" s="15"/>
      <c r="WBS3" s="15"/>
      <c r="WBT3" s="15"/>
      <c r="WBU3" s="15"/>
      <c r="WBV3" s="15"/>
      <c r="WBW3" s="15"/>
      <c r="WBX3" s="15"/>
      <c r="WBY3" s="15"/>
      <c r="WBZ3" s="15"/>
      <c r="WCA3" s="15"/>
      <c r="WCB3" s="15"/>
      <c r="WCC3" s="15"/>
      <c r="WCD3" s="15"/>
      <c r="WCE3" s="15"/>
      <c r="WCF3" s="15"/>
      <c r="WCG3" s="15"/>
      <c r="WCH3" s="15"/>
      <c r="WCI3" s="15"/>
      <c r="WCJ3" s="15"/>
      <c r="WCK3" s="15"/>
      <c r="WCL3" s="15"/>
      <c r="WCM3" s="15"/>
      <c r="WCN3" s="15"/>
      <c r="WCO3" s="15"/>
      <c r="WCP3" s="15"/>
      <c r="WCQ3" s="15"/>
      <c r="WCR3" s="15"/>
      <c r="WCS3" s="15"/>
      <c r="WCT3" s="15"/>
      <c r="WCU3" s="15"/>
      <c r="WCV3" s="15"/>
      <c r="WCW3" s="15"/>
      <c r="WCX3" s="15"/>
      <c r="WCY3" s="15"/>
      <c r="WCZ3" s="15"/>
      <c r="WDA3" s="15"/>
      <c r="WDB3" s="15"/>
      <c r="WDC3" s="15"/>
      <c r="WDD3" s="15"/>
      <c r="WDE3" s="15"/>
      <c r="WDF3" s="15"/>
      <c r="WDG3" s="15"/>
      <c r="WDH3" s="15"/>
      <c r="WDI3" s="15"/>
      <c r="WDJ3" s="15"/>
      <c r="WDK3" s="15"/>
      <c r="WDL3" s="15"/>
      <c r="WDM3" s="15"/>
      <c r="WDN3" s="15"/>
      <c r="WDO3" s="15"/>
      <c r="WDP3" s="15"/>
      <c r="WDQ3" s="15"/>
      <c r="WDR3" s="15"/>
      <c r="WDS3" s="15"/>
      <c r="WDT3" s="15"/>
      <c r="WDU3" s="15"/>
      <c r="WDV3" s="15"/>
      <c r="WDW3" s="15"/>
      <c r="WDX3" s="15"/>
      <c r="WDY3" s="15"/>
      <c r="WDZ3" s="15"/>
      <c r="WEA3" s="15"/>
      <c r="WEB3" s="15"/>
      <c r="WEC3" s="15"/>
      <c r="WED3" s="15"/>
      <c r="WEE3" s="15"/>
      <c r="WEF3" s="15"/>
      <c r="WEG3" s="15"/>
      <c r="WEH3" s="15"/>
      <c r="WEI3" s="15"/>
      <c r="WEJ3" s="15"/>
      <c r="WEK3" s="15"/>
      <c r="WEL3" s="15"/>
      <c r="WEM3" s="15"/>
      <c r="WEN3" s="15"/>
      <c r="WEO3" s="15"/>
      <c r="WEP3" s="15"/>
      <c r="WEQ3" s="15"/>
      <c r="WER3" s="15"/>
      <c r="WES3" s="15"/>
      <c r="WET3" s="15"/>
      <c r="WEU3" s="15"/>
      <c r="WEV3" s="15"/>
      <c r="WEW3" s="15"/>
      <c r="WEX3" s="15"/>
      <c r="WEY3" s="15"/>
      <c r="WEZ3" s="15"/>
      <c r="WFA3" s="15"/>
      <c r="WFB3" s="15"/>
      <c r="WFC3" s="15"/>
      <c r="WFD3" s="15"/>
      <c r="WFE3" s="15"/>
      <c r="WFF3" s="15"/>
      <c r="WFG3" s="15"/>
      <c r="WFH3" s="15"/>
      <c r="WFI3" s="15"/>
      <c r="WFJ3" s="15"/>
      <c r="WFK3" s="15"/>
      <c r="WFL3" s="15"/>
      <c r="WFM3" s="15"/>
      <c r="WFN3" s="15"/>
      <c r="WFO3" s="15"/>
      <c r="WFP3" s="15"/>
      <c r="WFQ3" s="15"/>
      <c r="WFR3" s="15"/>
      <c r="WFS3" s="15"/>
      <c r="WFT3" s="15"/>
      <c r="WFU3" s="15"/>
      <c r="WFV3" s="15"/>
      <c r="WFW3" s="15"/>
      <c r="WFX3" s="15"/>
      <c r="WFY3" s="15"/>
      <c r="WFZ3" s="15"/>
      <c r="WGA3" s="15"/>
      <c r="WGB3" s="15"/>
      <c r="WGC3" s="15"/>
      <c r="WGD3" s="15"/>
      <c r="WGE3" s="15"/>
      <c r="WGF3" s="15"/>
      <c r="WGG3" s="15"/>
      <c r="WGH3" s="15"/>
      <c r="WGI3" s="15"/>
      <c r="WGJ3" s="15"/>
      <c r="WGK3" s="15"/>
      <c r="WGL3" s="15"/>
      <c r="WGM3" s="15"/>
      <c r="WGN3" s="15"/>
      <c r="WGO3" s="15"/>
      <c r="WGP3" s="15"/>
      <c r="WGQ3" s="15"/>
      <c r="WGR3" s="15"/>
      <c r="WGS3" s="15"/>
      <c r="WGT3" s="15"/>
      <c r="WGU3" s="15"/>
      <c r="WGV3" s="15"/>
      <c r="WGW3" s="15"/>
      <c r="WGX3" s="15"/>
      <c r="WGY3" s="15"/>
      <c r="WGZ3" s="15"/>
      <c r="WHA3" s="15"/>
      <c r="WHB3" s="15"/>
      <c r="WHC3" s="15"/>
      <c r="WHD3" s="15"/>
      <c r="WHE3" s="15"/>
      <c r="WHF3" s="15"/>
      <c r="WHG3" s="15"/>
      <c r="WHH3" s="15"/>
      <c r="WHI3" s="15"/>
      <c r="WHJ3" s="15"/>
      <c r="WHK3" s="15"/>
      <c r="WHL3" s="15"/>
      <c r="WHM3" s="15"/>
      <c r="WHN3" s="15"/>
      <c r="WHO3" s="15"/>
      <c r="WHP3" s="15"/>
      <c r="WHQ3" s="15"/>
      <c r="WHR3" s="15"/>
      <c r="WHS3" s="15"/>
      <c r="WHT3" s="15"/>
      <c r="WHU3" s="15"/>
      <c r="WHV3" s="15"/>
      <c r="WHW3" s="15"/>
      <c r="WHX3" s="15"/>
      <c r="WHY3" s="15"/>
      <c r="WHZ3" s="15"/>
      <c r="WIA3" s="15"/>
      <c r="WIB3" s="15"/>
      <c r="WIC3" s="15"/>
      <c r="WID3" s="15"/>
      <c r="WIE3" s="15"/>
      <c r="WIF3" s="15"/>
      <c r="WIG3" s="15"/>
      <c r="WIH3" s="15"/>
      <c r="WII3" s="15"/>
      <c r="WIJ3" s="15"/>
      <c r="WIK3" s="15"/>
      <c r="WIL3" s="15"/>
      <c r="WIM3" s="15"/>
      <c r="WIN3" s="15"/>
      <c r="WIO3" s="15"/>
      <c r="WIP3" s="15"/>
      <c r="WIQ3" s="15"/>
      <c r="WIR3" s="15"/>
      <c r="WIS3" s="15"/>
      <c r="WIT3" s="15"/>
      <c r="WIU3" s="15"/>
      <c r="WIV3" s="15"/>
      <c r="WIW3" s="15"/>
      <c r="WIX3" s="15"/>
      <c r="WIY3" s="15"/>
      <c r="WIZ3" s="15"/>
      <c r="WJA3" s="15"/>
      <c r="WJB3" s="15"/>
      <c r="WJC3" s="15"/>
      <c r="WJD3" s="15"/>
      <c r="WJE3" s="15"/>
      <c r="WJF3" s="15"/>
      <c r="WJG3" s="15"/>
      <c r="WJH3" s="15"/>
      <c r="WJI3" s="15"/>
      <c r="WJJ3" s="15"/>
      <c r="WJK3" s="15"/>
      <c r="WJL3" s="15"/>
      <c r="WJM3" s="15"/>
      <c r="WJN3" s="15"/>
      <c r="WJO3" s="15"/>
      <c r="WJP3" s="15"/>
      <c r="WJQ3" s="15"/>
      <c r="WJR3" s="15"/>
      <c r="WJS3" s="15"/>
      <c r="WJT3" s="15"/>
      <c r="WJU3" s="15"/>
      <c r="WJV3" s="15"/>
      <c r="WJW3" s="15"/>
      <c r="WJX3" s="15"/>
      <c r="WJY3" s="15"/>
      <c r="WJZ3" s="15"/>
      <c r="WKA3" s="15"/>
      <c r="WKB3" s="15"/>
      <c r="WKC3" s="15"/>
      <c r="WKD3" s="15"/>
      <c r="WKE3" s="15"/>
      <c r="WKF3" s="15"/>
      <c r="WKG3" s="15"/>
      <c r="WKH3" s="15"/>
      <c r="WKI3" s="15"/>
      <c r="WKJ3" s="15"/>
      <c r="WKK3" s="15"/>
      <c r="WKL3" s="15"/>
      <c r="WKM3" s="15"/>
      <c r="WKN3" s="15"/>
      <c r="WKO3" s="15"/>
      <c r="WKP3" s="15"/>
      <c r="WKQ3" s="15"/>
      <c r="WKR3" s="15"/>
      <c r="WKS3" s="15"/>
      <c r="WKT3" s="15"/>
      <c r="WKU3" s="15"/>
      <c r="WKV3" s="15"/>
      <c r="WKW3" s="15"/>
      <c r="WKX3" s="15"/>
      <c r="WKY3" s="15"/>
      <c r="WKZ3" s="15"/>
      <c r="WLA3" s="15"/>
      <c r="WLB3" s="15"/>
      <c r="WLC3" s="15"/>
      <c r="WLD3" s="15"/>
      <c r="WLE3" s="15"/>
      <c r="WLF3" s="15"/>
      <c r="WLG3" s="15"/>
      <c r="WLH3" s="15"/>
      <c r="WLI3" s="15"/>
      <c r="WLJ3" s="15"/>
      <c r="WLK3" s="15"/>
      <c r="WLL3" s="15"/>
      <c r="WLM3" s="15"/>
      <c r="WLN3" s="15"/>
      <c r="WLO3" s="15"/>
      <c r="WLP3" s="15"/>
      <c r="WLQ3" s="15"/>
      <c r="WLR3" s="15"/>
      <c r="WLS3" s="15"/>
      <c r="WLT3" s="15"/>
      <c r="WLU3" s="15"/>
      <c r="WLV3" s="15"/>
      <c r="WLW3" s="15"/>
      <c r="WLX3" s="15"/>
      <c r="WLY3" s="15"/>
      <c r="WLZ3" s="15"/>
      <c r="WMA3" s="15"/>
      <c r="WMB3" s="15"/>
      <c r="WMC3" s="15"/>
      <c r="WMD3" s="15"/>
      <c r="WME3" s="15"/>
      <c r="WMF3" s="15"/>
      <c r="WMG3" s="15"/>
      <c r="WMH3" s="15"/>
      <c r="WMI3" s="15"/>
      <c r="WMJ3" s="15"/>
      <c r="WMK3" s="15"/>
      <c r="WML3" s="15"/>
      <c r="WMM3" s="15"/>
      <c r="WMN3" s="15"/>
      <c r="WMO3" s="15"/>
      <c r="WMP3" s="15"/>
      <c r="WMQ3" s="15"/>
      <c r="WMR3" s="15"/>
      <c r="WMS3" s="15"/>
      <c r="WMT3" s="15"/>
      <c r="WMU3" s="15"/>
      <c r="WMV3" s="15"/>
      <c r="WMW3" s="15"/>
      <c r="WMX3" s="15"/>
      <c r="WMY3" s="15"/>
      <c r="WMZ3" s="15"/>
      <c r="WNA3" s="15"/>
      <c r="WNB3" s="15"/>
      <c r="WNC3" s="15"/>
      <c r="WND3" s="15"/>
      <c r="WNE3" s="15"/>
      <c r="WNF3" s="15"/>
      <c r="WNG3" s="15"/>
      <c r="WNH3" s="15"/>
      <c r="WNI3" s="15"/>
      <c r="WNJ3" s="15"/>
      <c r="WNK3" s="15"/>
      <c r="WNL3" s="15"/>
      <c r="WNM3" s="15"/>
      <c r="WNN3" s="15"/>
      <c r="WNO3" s="15"/>
      <c r="WNP3" s="15"/>
      <c r="WNQ3" s="15"/>
      <c r="WNR3" s="15"/>
      <c r="WNS3" s="15"/>
      <c r="WNT3" s="15"/>
      <c r="WNU3" s="15"/>
      <c r="WNV3" s="15"/>
      <c r="WNW3" s="15"/>
      <c r="WNX3" s="15"/>
      <c r="WNY3" s="15"/>
      <c r="WNZ3" s="15"/>
      <c r="WOA3" s="15"/>
      <c r="WOB3" s="15"/>
      <c r="WOC3" s="15"/>
      <c r="WOD3" s="15"/>
      <c r="WOE3" s="15"/>
      <c r="WOF3" s="15"/>
      <c r="WOG3" s="15"/>
      <c r="WOH3" s="15"/>
      <c r="WOI3" s="15"/>
      <c r="WOJ3" s="15"/>
      <c r="WOK3" s="15"/>
      <c r="WOL3" s="15"/>
      <c r="WOM3" s="15"/>
      <c r="WON3" s="15"/>
      <c r="WOO3" s="15"/>
      <c r="WOP3" s="15"/>
      <c r="WOQ3" s="15"/>
      <c r="WOR3" s="15"/>
      <c r="WOS3" s="15"/>
      <c r="WOT3" s="15"/>
      <c r="WOU3" s="15"/>
      <c r="WOV3" s="15"/>
      <c r="WOW3" s="15"/>
      <c r="WOX3" s="15"/>
      <c r="WOY3" s="15"/>
      <c r="WOZ3" s="15"/>
      <c r="WPA3" s="15"/>
      <c r="WPB3" s="15"/>
      <c r="WPC3" s="15"/>
      <c r="WPD3" s="15"/>
      <c r="WPE3" s="15"/>
      <c r="WPF3" s="15"/>
      <c r="WPG3" s="15"/>
      <c r="WPH3" s="15"/>
      <c r="WPI3" s="15"/>
      <c r="WPJ3" s="15"/>
      <c r="WPK3" s="15"/>
      <c r="WPL3" s="15"/>
      <c r="WPM3" s="15"/>
      <c r="WPN3" s="15"/>
      <c r="WPO3" s="15"/>
      <c r="WPP3" s="15"/>
      <c r="WPQ3" s="15"/>
      <c r="WPR3" s="15"/>
      <c r="WPS3" s="15"/>
      <c r="WPT3" s="15"/>
      <c r="WPU3" s="15"/>
      <c r="WPV3" s="15"/>
      <c r="WPW3" s="15"/>
      <c r="WPX3" s="15"/>
      <c r="WPY3" s="15"/>
      <c r="WPZ3" s="15"/>
      <c r="WQA3" s="15"/>
      <c r="WQB3" s="15"/>
      <c r="WQC3" s="15"/>
      <c r="WQD3" s="15"/>
      <c r="WQE3" s="15"/>
      <c r="WQF3" s="15"/>
      <c r="WQG3" s="15"/>
      <c r="WQH3" s="15"/>
      <c r="WQI3" s="15"/>
      <c r="WQJ3" s="15"/>
      <c r="WQK3" s="15"/>
      <c r="WQL3" s="15"/>
      <c r="WQM3" s="15"/>
      <c r="WQN3" s="15"/>
      <c r="WQO3" s="15"/>
      <c r="WQP3" s="15"/>
      <c r="WQQ3" s="15"/>
      <c r="WQR3" s="15"/>
      <c r="WQS3" s="15"/>
      <c r="WQT3" s="15"/>
      <c r="WQU3" s="15"/>
      <c r="WQV3" s="15"/>
      <c r="WQW3" s="15"/>
      <c r="WQX3" s="15"/>
      <c r="WQY3" s="15"/>
      <c r="WQZ3" s="15"/>
      <c r="WRA3" s="15"/>
      <c r="WRB3" s="15"/>
      <c r="WRC3" s="15"/>
      <c r="WRD3" s="15"/>
      <c r="WRE3" s="15"/>
      <c r="WRF3" s="15"/>
      <c r="WRG3" s="15"/>
      <c r="WRH3" s="15"/>
      <c r="WRI3" s="15"/>
      <c r="WRJ3" s="15"/>
      <c r="WRK3" s="15"/>
      <c r="WRL3" s="15"/>
      <c r="WRM3" s="15"/>
      <c r="WRN3" s="15"/>
      <c r="WRO3" s="15"/>
      <c r="WRP3" s="15"/>
      <c r="WRQ3" s="15"/>
      <c r="WRR3" s="15"/>
      <c r="WRS3" s="15"/>
      <c r="WRT3" s="15"/>
      <c r="WRU3" s="15"/>
      <c r="WRV3" s="15"/>
      <c r="WRW3" s="15"/>
      <c r="WRX3" s="15"/>
      <c r="WRY3" s="15"/>
      <c r="WRZ3" s="15"/>
      <c r="WSA3" s="15"/>
      <c r="WSB3" s="15"/>
      <c r="WSC3" s="15"/>
      <c r="WSD3" s="15"/>
      <c r="WSE3" s="15"/>
      <c r="WSF3" s="15"/>
      <c r="WSG3" s="15"/>
      <c r="WSH3" s="15"/>
      <c r="WSI3" s="15"/>
      <c r="WSJ3" s="15"/>
      <c r="WSK3" s="15"/>
      <c r="WSL3" s="15"/>
      <c r="WSM3" s="15"/>
      <c r="WSN3" s="15"/>
      <c r="WSO3" s="15"/>
      <c r="WSP3" s="15"/>
      <c r="WSQ3" s="15"/>
      <c r="WSR3" s="15"/>
      <c r="WSS3" s="15"/>
      <c r="WST3" s="15"/>
      <c r="WSU3" s="15"/>
      <c r="WSV3" s="15"/>
      <c r="WSW3" s="15"/>
      <c r="WSX3" s="15"/>
      <c r="WSY3" s="15"/>
      <c r="WSZ3" s="15"/>
      <c r="WTA3" s="15"/>
      <c r="WTB3" s="15"/>
      <c r="WTC3" s="15"/>
      <c r="WTD3" s="15"/>
      <c r="WTE3" s="15"/>
      <c r="WTF3" s="15"/>
      <c r="WTG3" s="15"/>
      <c r="WTH3" s="15"/>
      <c r="WTI3" s="15"/>
      <c r="WTJ3" s="15"/>
      <c r="WTK3" s="15"/>
      <c r="WTL3" s="15"/>
      <c r="WTM3" s="15"/>
      <c r="WTN3" s="15"/>
      <c r="WTO3" s="15"/>
      <c r="WTP3" s="15"/>
      <c r="WTQ3" s="15"/>
      <c r="WTR3" s="15"/>
      <c r="WTS3" s="15"/>
      <c r="WTT3" s="15"/>
      <c r="WTU3" s="15"/>
      <c r="WTV3" s="15"/>
      <c r="WTW3" s="15"/>
      <c r="WTX3" s="15"/>
      <c r="WTY3" s="15"/>
      <c r="WTZ3" s="15"/>
      <c r="WUA3" s="15"/>
      <c r="WUB3" s="15"/>
      <c r="WUC3" s="15"/>
      <c r="WUD3" s="15"/>
      <c r="WUE3" s="15"/>
      <c r="WUF3" s="15"/>
      <c r="WUG3" s="15"/>
      <c r="WUH3" s="15"/>
      <c r="WUI3" s="15"/>
      <c r="WUJ3" s="15"/>
      <c r="WUK3" s="15"/>
      <c r="WUL3" s="15"/>
      <c r="WUM3" s="15"/>
      <c r="WUN3" s="15"/>
      <c r="WUO3" s="15"/>
      <c r="WUP3" s="15"/>
      <c r="WUQ3" s="15"/>
      <c r="WUR3" s="15"/>
      <c r="WUS3" s="15"/>
      <c r="WUT3" s="15"/>
      <c r="WUU3" s="15"/>
      <c r="WUV3" s="15"/>
      <c r="WUW3" s="15"/>
      <c r="WUX3" s="15"/>
      <c r="WUY3" s="15"/>
      <c r="WUZ3" s="15"/>
      <c r="WVA3" s="15"/>
      <c r="WVB3" s="15"/>
      <c r="WVC3" s="15"/>
      <c r="WVD3" s="15"/>
      <c r="WVE3" s="15"/>
      <c r="WVF3" s="15"/>
      <c r="WVG3" s="15"/>
      <c r="WVH3" s="15"/>
      <c r="WVI3" s="15"/>
      <c r="WVJ3" s="15"/>
      <c r="WVK3" s="15"/>
      <c r="WVL3" s="15"/>
      <c r="WVM3" s="15"/>
      <c r="WVN3" s="15"/>
      <c r="WVO3" s="15"/>
      <c r="WVP3" s="15"/>
      <c r="WVQ3" s="15"/>
      <c r="WVR3" s="15"/>
      <c r="WVS3" s="15"/>
      <c r="WVT3" s="15"/>
      <c r="WVU3" s="15"/>
      <c r="WVV3" s="15"/>
      <c r="WVW3" s="15"/>
      <c r="WVX3" s="15"/>
      <c r="WVY3" s="15"/>
      <c r="WVZ3" s="15"/>
      <c r="WWA3" s="15"/>
      <c r="WWB3" s="15"/>
      <c r="WWC3" s="15"/>
      <c r="WWD3" s="15"/>
      <c r="WWE3" s="15"/>
      <c r="WWF3" s="15"/>
      <c r="WWG3" s="15"/>
      <c r="WWH3" s="15"/>
      <c r="WWI3" s="15"/>
      <c r="WWJ3" s="15"/>
      <c r="WWK3" s="15"/>
      <c r="WWL3" s="15"/>
      <c r="WWM3" s="15"/>
      <c r="WWN3" s="15"/>
      <c r="WWO3" s="15"/>
      <c r="WWP3" s="15"/>
      <c r="WWQ3" s="15"/>
      <c r="WWR3" s="15"/>
      <c r="WWS3" s="15"/>
      <c r="WWT3" s="15"/>
      <c r="WWU3" s="15"/>
      <c r="WWV3" s="15"/>
      <c r="WWW3" s="15"/>
      <c r="WWX3" s="15"/>
      <c r="WWY3" s="15"/>
      <c r="WWZ3" s="15"/>
      <c r="WXA3" s="15"/>
      <c r="WXB3" s="15"/>
      <c r="WXC3" s="15"/>
      <c r="WXD3" s="15"/>
      <c r="WXE3" s="15"/>
      <c r="WXF3" s="15"/>
      <c r="WXG3" s="15"/>
      <c r="WXH3" s="15"/>
      <c r="WXI3" s="15"/>
      <c r="WXJ3" s="15"/>
      <c r="WXK3" s="15"/>
      <c r="WXL3" s="15"/>
      <c r="WXM3" s="15"/>
      <c r="WXN3" s="15"/>
      <c r="WXO3" s="15"/>
      <c r="WXP3" s="15"/>
      <c r="WXQ3" s="15"/>
      <c r="WXR3" s="15"/>
      <c r="WXS3" s="15"/>
      <c r="WXT3" s="15"/>
      <c r="WXU3" s="15"/>
      <c r="WXV3" s="15"/>
      <c r="WXW3" s="15"/>
      <c r="WXX3" s="15"/>
      <c r="WXY3" s="15"/>
      <c r="WXZ3" s="15"/>
      <c r="WYA3" s="15"/>
      <c r="WYB3" s="15"/>
      <c r="WYC3" s="15"/>
      <c r="WYD3" s="15"/>
      <c r="WYE3" s="15"/>
      <c r="WYF3" s="15"/>
      <c r="WYG3" s="15"/>
      <c r="WYH3" s="15"/>
      <c r="WYI3" s="15"/>
      <c r="WYJ3" s="15"/>
      <c r="WYK3" s="15"/>
      <c r="WYL3" s="15"/>
      <c r="WYM3" s="15"/>
      <c r="WYN3" s="15"/>
      <c r="WYO3" s="15"/>
      <c r="WYP3" s="15"/>
      <c r="WYQ3" s="15"/>
      <c r="WYR3" s="15"/>
      <c r="WYS3" s="15"/>
      <c r="WYT3" s="15"/>
      <c r="WYU3" s="15"/>
      <c r="WYV3" s="15"/>
      <c r="WYW3" s="15"/>
      <c r="WYX3" s="15"/>
      <c r="WYY3" s="15"/>
      <c r="WYZ3" s="15"/>
      <c r="WZA3" s="15"/>
      <c r="WZB3" s="15"/>
      <c r="WZC3" s="15"/>
      <c r="WZD3" s="15"/>
      <c r="WZE3" s="15"/>
      <c r="WZF3" s="15"/>
      <c r="WZG3" s="15"/>
      <c r="WZH3" s="15"/>
      <c r="WZI3" s="15"/>
      <c r="WZJ3" s="15"/>
      <c r="WZK3" s="15"/>
      <c r="WZL3" s="15"/>
      <c r="WZM3" s="15"/>
      <c r="WZN3" s="15"/>
      <c r="WZO3" s="15"/>
      <c r="WZP3" s="15"/>
      <c r="WZQ3" s="15"/>
      <c r="WZR3" s="15"/>
      <c r="WZS3" s="15"/>
      <c r="WZT3" s="15"/>
      <c r="WZU3" s="15"/>
      <c r="WZV3" s="15"/>
      <c r="WZW3" s="15"/>
      <c r="WZX3" s="15"/>
      <c r="WZY3" s="15"/>
      <c r="WZZ3" s="15"/>
      <c r="XAA3" s="15"/>
      <c r="XAB3" s="15"/>
      <c r="XAC3" s="15"/>
      <c r="XAD3" s="15"/>
      <c r="XAE3" s="15"/>
      <c r="XAF3" s="15"/>
      <c r="XAG3" s="15"/>
      <c r="XAH3" s="15"/>
      <c r="XAI3" s="15"/>
      <c r="XAJ3" s="15"/>
      <c r="XAK3" s="15"/>
      <c r="XAL3" s="15"/>
      <c r="XAM3" s="15"/>
      <c r="XAN3" s="15"/>
      <c r="XAO3" s="15"/>
      <c r="XAP3" s="15"/>
      <c r="XAQ3" s="15"/>
      <c r="XAR3" s="15"/>
      <c r="XAS3" s="15"/>
      <c r="XAT3" s="15"/>
      <c r="XAU3" s="15"/>
      <c r="XAV3" s="15"/>
      <c r="XAW3" s="15"/>
      <c r="XAX3" s="15"/>
      <c r="XAY3" s="15"/>
      <c r="XAZ3" s="15"/>
      <c r="XBA3" s="15"/>
      <c r="XBB3" s="15"/>
      <c r="XBC3" s="15"/>
      <c r="XBD3" s="15"/>
      <c r="XBE3" s="15"/>
      <c r="XBF3" s="15"/>
      <c r="XBG3" s="15"/>
      <c r="XBH3" s="15"/>
      <c r="XBI3" s="15"/>
      <c r="XBJ3" s="15"/>
      <c r="XBK3" s="15"/>
    </row>
    <row r="4" spans="1:16287" s="16" customFormat="1" ht="15.95" customHeight="1" thickBot="1" x14ac:dyDescent="0.3">
      <c r="A4" s="38">
        <v>10000</v>
      </c>
      <c r="B4" s="39" t="s">
        <v>23</v>
      </c>
      <c r="C4" s="40"/>
      <c r="D4" s="57">
        <f>SUM(D5:D23)</f>
        <v>0</v>
      </c>
    </row>
    <row r="5" spans="1:16287" ht="14.1" customHeight="1" x14ac:dyDescent="0.25">
      <c r="A5" s="52" t="s">
        <v>24</v>
      </c>
      <c r="B5" s="19" t="s">
        <v>25</v>
      </c>
      <c r="C5" s="51"/>
      <c r="D5" s="58">
        <f>SUMIF(FORM5!D11:D610,"11220",FORM5!I11:I610)</f>
        <v>0</v>
      </c>
    </row>
    <row r="6" spans="1:16287" ht="14.1" customHeight="1" x14ac:dyDescent="0.25">
      <c r="A6" s="53" t="s">
        <v>26</v>
      </c>
      <c r="B6" s="20" t="s">
        <v>27</v>
      </c>
      <c r="C6" s="51"/>
      <c r="D6" s="58">
        <f>SUMIF(FORM5!D11:D610,"11310",FORM5!I11:I610)</f>
        <v>0</v>
      </c>
    </row>
    <row r="7" spans="1:16287" ht="14.1" customHeight="1" x14ac:dyDescent="0.25">
      <c r="A7" s="53">
        <v>11321</v>
      </c>
      <c r="B7" s="20" t="s">
        <v>28</v>
      </c>
      <c r="C7" s="51"/>
      <c r="D7" s="58">
        <f>SUMIF(FORM5!D11:D610,"11321",FORM5!I11:I610)</f>
        <v>0</v>
      </c>
    </row>
    <row r="8" spans="1:16287" ht="14.1" customHeight="1" x14ac:dyDescent="0.25">
      <c r="A8" s="53">
        <v>11322</v>
      </c>
      <c r="B8" s="20" t="s">
        <v>29</v>
      </c>
      <c r="C8" s="51"/>
      <c r="D8" s="58">
        <f>SUMIF(FORM5!D11:D610,"11322",FORM5!I11:I610)</f>
        <v>0</v>
      </c>
    </row>
    <row r="9" spans="1:16287" ht="14.1" customHeight="1" x14ac:dyDescent="0.25">
      <c r="A9" s="53">
        <v>11324</v>
      </c>
      <c r="B9" s="20" t="s">
        <v>30</v>
      </c>
      <c r="C9" s="51"/>
      <c r="D9" s="58">
        <f>SUMIF(FORM5!D11:D610,"11324",FORM5!I11:I610)</f>
        <v>0</v>
      </c>
    </row>
    <row r="10" spans="1:16287" ht="14.1" customHeight="1" x14ac:dyDescent="0.25">
      <c r="A10" s="53" t="s">
        <v>31</v>
      </c>
      <c r="B10" s="20" t="s">
        <v>32</v>
      </c>
      <c r="C10" s="51"/>
      <c r="D10" s="58">
        <f>SUMIF(FORM5!D11:D610,"11400",FORM5!I11:I610)</f>
        <v>0</v>
      </c>
    </row>
    <row r="11" spans="1:16287" ht="14.1" customHeight="1" x14ac:dyDescent="0.25">
      <c r="A11" s="53" t="s">
        <v>33</v>
      </c>
      <c r="B11" s="20" t="s">
        <v>34</v>
      </c>
      <c r="C11" s="51"/>
      <c r="D11" s="58">
        <f>SUMIF(FORM5!D11:D610,"11600",FORM5!I11:I610)</f>
        <v>0</v>
      </c>
    </row>
    <row r="12" spans="1:16287" ht="14.1" customHeight="1" x14ac:dyDescent="0.25">
      <c r="A12" s="53" t="s">
        <v>35</v>
      </c>
      <c r="B12" s="20" t="s">
        <v>36</v>
      </c>
      <c r="C12" s="51"/>
      <c r="D12" s="58">
        <f>SUMIF(FORM5!D11:D610,"11700",FORM5!I11:I610)</f>
        <v>0</v>
      </c>
    </row>
    <row r="13" spans="1:16287" ht="14.1" customHeight="1" x14ac:dyDescent="0.25">
      <c r="A13" s="53">
        <v>11810</v>
      </c>
      <c r="B13" s="20" t="s">
        <v>37</v>
      </c>
      <c r="C13" s="51"/>
      <c r="D13" s="58">
        <f>SUMIF(FORM5!D11:D610,"11810",FORM5!I11:I610)</f>
        <v>0</v>
      </c>
    </row>
    <row r="14" spans="1:16287" ht="14.1" customHeight="1" x14ac:dyDescent="0.25">
      <c r="A14" s="53" t="s">
        <v>38</v>
      </c>
      <c r="B14" s="20" t="s">
        <v>39</v>
      </c>
      <c r="C14" s="51"/>
      <c r="D14" s="58">
        <f>SUMIF(FORM5!D11:D610,"11910",FORM5!I11:I610)</f>
        <v>0</v>
      </c>
    </row>
    <row r="15" spans="1:16287" ht="14.1" customHeight="1" x14ac:dyDescent="0.25">
      <c r="A15" s="53">
        <v>11920</v>
      </c>
      <c r="B15" s="20" t="s">
        <v>40</v>
      </c>
      <c r="C15" s="51"/>
      <c r="D15" s="58">
        <f>SUMIF(FORM5!D11:D610,"11920",FORM5!I11:I610)</f>
        <v>0</v>
      </c>
    </row>
    <row r="16" spans="1:16287" ht="14.1" customHeight="1" x14ac:dyDescent="0.25">
      <c r="A16" s="53" t="s">
        <v>41</v>
      </c>
      <c r="B16" s="20" t="s">
        <v>42</v>
      </c>
      <c r="C16" s="51"/>
      <c r="D16" s="58">
        <f>SUMIF(FORM5!D11:D610,"12100",FORM5!I11:I610)</f>
        <v>0</v>
      </c>
    </row>
    <row r="17" spans="1:4" ht="14.1" customHeight="1" x14ac:dyDescent="0.25">
      <c r="A17" s="53" t="s">
        <v>43</v>
      </c>
      <c r="B17" s="20" t="s">
        <v>44</v>
      </c>
      <c r="C17" s="51"/>
      <c r="D17" s="58">
        <f>SUMIF(FORM5!D11:D610,"13110",FORM5!I11:I610)</f>
        <v>0</v>
      </c>
    </row>
    <row r="18" spans="1:4" ht="14.1" customHeight="1" x14ac:dyDescent="0.25">
      <c r="A18" s="53" t="s">
        <v>45</v>
      </c>
      <c r="B18" s="20" t="s">
        <v>46</v>
      </c>
      <c r="C18" s="51"/>
      <c r="D18" s="58">
        <f>SUMIF(FORM5!D11:D610,"13120",FORM5!I11:I610)</f>
        <v>0</v>
      </c>
    </row>
    <row r="19" spans="1:4" ht="14.1" customHeight="1" x14ac:dyDescent="0.25">
      <c r="A19" s="53">
        <v>13131</v>
      </c>
      <c r="B19" s="20" t="s">
        <v>47</v>
      </c>
      <c r="C19" s="51"/>
      <c r="D19" s="58">
        <f>SUMIF(FORM5!D11:D610,"13131",FORM5!I11:I610)</f>
        <v>0</v>
      </c>
    </row>
    <row r="20" spans="1:4" ht="14.1" customHeight="1" x14ac:dyDescent="0.25">
      <c r="A20" s="53" t="s">
        <v>48</v>
      </c>
      <c r="B20" s="20" t="s">
        <v>49</v>
      </c>
      <c r="C20" s="51"/>
      <c r="D20" s="58">
        <f>SUMIF(FORM5!D11:D610,"13200",FORM5!I11:I610)</f>
        <v>0</v>
      </c>
    </row>
    <row r="21" spans="1:4" ht="14.1" customHeight="1" x14ac:dyDescent="0.25">
      <c r="A21" s="53">
        <v>15100</v>
      </c>
      <c r="B21" s="20" t="s">
        <v>50</v>
      </c>
      <c r="C21" s="51"/>
      <c r="D21" s="58">
        <f>SUMIF(FORM5!D11:D610,"15100",FORM5!I11:I610)</f>
        <v>0</v>
      </c>
    </row>
    <row r="22" spans="1:4" ht="14.1" customHeight="1" x14ac:dyDescent="0.25">
      <c r="A22" s="53" t="s">
        <v>51</v>
      </c>
      <c r="B22" s="20" t="s">
        <v>52</v>
      </c>
      <c r="C22" s="51"/>
      <c r="D22" s="58">
        <f>SUMIF(FORM5!D11:D610,"15200",FORM5!I11:I610)</f>
        <v>0</v>
      </c>
    </row>
    <row r="23" spans="1:4" ht="14.1" customHeight="1" x14ac:dyDescent="0.25">
      <c r="A23" s="53">
        <v>15400</v>
      </c>
      <c r="B23" s="20" t="s">
        <v>53</v>
      </c>
      <c r="C23" s="51"/>
      <c r="D23" s="58">
        <f>SUMIF(FORM5!D11:D610,"15400",FORM5!I11:I610)</f>
        <v>0</v>
      </c>
    </row>
    <row r="24" spans="1:4" s="16" customFormat="1" ht="15.95" customHeight="1" thickBot="1" x14ac:dyDescent="0.3">
      <c r="A24" s="43">
        <v>20000</v>
      </c>
      <c r="B24" s="44" t="s">
        <v>54</v>
      </c>
      <c r="C24" s="45"/>
      <c r="D24" s="57">
        <f>SUM(D25:D60)</f>
        <v>0</v>
      </c>
    </row>
    <row r="25" spans="1:4" ht="14.1" customHeight="1" x14ac:dyDescent="0.3">
      <c r="A25" s="52" t="s">
        <v>55</v>
      </c>
      <c r="B25" s="19" t="s">
        <v>56</v>
      </c>
      <c r="C25" s="49"/>
      <c r="D25" s="58">
        <f>SUMIF(FORM5!D11:D610,"21100",FORM5!I11:I610)</f>
        <v>0</v>
      </c>
    </row>
    <row r="26" spans="1:4" ht="14.1" customHeight="1" x14ac:dyDescent="0.3">
      <c r="A26" s="53" t="s">
        <v>57</v>
      </c>
      <c r="B26" s="20" t="s">
        <v>58</v>
      </c>
      <c r="C26" s="49"/>
      <c r="D26" s="58">
        <f>SUMIF(FORM5!D11:D610,"21200",FORM5!I11:I610)</f>
        <v>0</v>
      </c>
    </row>
    <row r="27" spans="1:4" ht="14.1" customHeight="1" x14ac:dyDescent="0.3">
      <c r="A27" s="53" t="s">
        <v>59</v>
      </c>
      <c r="B27" s="20" t="s">
        <v>60</v>
      </c>
      <c r="C27" s="49"/>
      <c r="D27" s="58">
        <f>SUMIF(FORM5!D11:D610,"21300",FORM5!I11:I610)</f>
        <v>0</v>
      </c>
    </row>
    <row r="28" spans="1:4" ht="14.1" customHeight="1" x14ac:dyDescent="0.3">
      <c r="A28" s="53" t="s">
        <v>61</v>
      </c>
      <c r="B28" s="20" t="s">
        <v>62</v>
      </c>
      <c r="C28" s="49"/>
      <c r="D28" s="58">
        <f>SUMIF(FORM5!D11:D610,"21400",FORM5!I11:I610)</f>
        <v>0</v>
      </c>
    </row>
    <row r="29" spans="1:4" ht="14.1" customHeight="1" x14ac:dyDescent="0.3">
      <c r="A29" s="53" t="s">
        <v>63</v>
      </c>
      <c r="B29" s="20" t="s">
        <v>64</v>
      </c>
      <c r="C29" s="49"/>
      <c r="D29" s="58">
        <f>SUMIF(FORM5!D11:D610,"21500",FORM5!I11:I610)</f>
        <v>0</v>
      </c>
    </row>
    <row r="30" spans="1:4" ht="14.1" customHeight="1" x14ac:dyDescent="0.3">
      <c r="A30" s="53">
        <v>21600</v>
      </c>
      <c r="B30" s="20" t="s">
        <v>65</v>
      </c>
      <c r="C30" s="49"/>
      <c r="D30" s="58">
        <f>SUMIF(FORM5!D11:D610,"21600",FORM5!I11:I610)</f>
        <v>0</v>
      </c>
    </row>
    <row r="31" spans="1:4" ht="14.1" customHeight="1" x14ac:dyDescent="0.3">
      <c r="A31" s="53">
        <v>22110</v>
      </c>
      <c r="B31" s="20" t="s">
        <v>20</v>
      </c>
      <c r="C31" s="49"/>
      <c r="D31" s="58">
        <f>SUMIF(FORM5!D11:D610,"22110",FORM5!I11:I610)</f>
        <v>0</v>
      </c>
    </row>
    <row r="32" spans="1:4" ht="14.1" customHeight="1" x14ac:dyDescent="0.3">
      <c r="A32" s="53">
        <v>22120</v>
      </c>
      <c r="B32" s="20" t="s">
        <v>66</v>
      </c>
      <c r="C32" s="49"/>
      <c r="D32" s="58">
        <f>SUMIF(FORM5!D11:D610,"22120",FORM5!I11:I610)</f>
        <v>0</v>
      </c>
    </row>
    <row r="33" spans="1:4" ht="14.1" customHeight="1" x14ac:dyDescent="0.3">
      <c r="A33" s="53">
        <v>22210</v>
      </c>
      <c r="B33" s="20" t="s">
        <v>21</v>
      </c>
      <c r="C33" s="49"/>
      <c r="D33" s="58">
        <f>SUMIF(FORM5!D11:D610,"22210",FORM5!I11:I610)</f>
        <v>0</v>
      </c>
    </row>
    <row r="34" spans="1:4" ht="14.1" customHeight="1" x14ac:dyDescent="0.3">
      <c r="A34" s="53">
        <v>22220</v>
      </c>
      <c r="B34" s="20" t="s">
        <v>67</v>
      </c>
      <c r="C34" s="49"/>
      <c r="D34" s="58">
        <f>SUMIF(FORM5!D11:D610,"22220",FORM5!I11:I610)</f>
        <v>0</v>
      </c>
    </row>
    <row r="35" spans="1:4" ht="14.1" customHeight="1" x14ac:dyDescent="0.3">
      <c r="A35" s="53" t="s">
        <v>68</v>
      </c>
      <c r="B35" s="20" t="s">
        <v>69</v>
      </c>
      <c r="C35" s="49"/>
      <c r="D35" s="58">
        <f>SUMIF(FORM5!D11:D610,"22300",FORM5!I11:I610)</f>
        <v>0</v>
      </c>
    </row>
    <row r="36" spans="1:4" ht="14.1" customHeight="1" x14ac:dyDescent="0.3">
      <c r="A36" s="53" t="s">
        <v>70</v>
      </c>
      <c r="B36" s="20" t="s">
        <v>71</v>
      </c>
      <c r="C36" s="49"/>
      <c r="D36" s="58">
        <f>SUMIF(FORM5!D11:D610,"22500",FORM5!I11:I610)</f>
        <v>0</v>
      </c>
    </row>
    <row r="37" spans="1:4" ht="14.1" customHeight="1" x14ac:dyDescent="0.3">
      <c r="A37" s="53" t="s">
        <v>72</v>
      </c>
      <c r="B37" s="20" t="s">
        <v>73</v>
      </c>
      <c r="C37" s="49"/>
      <c r="D37" s="58">
        <f>SUMIF(FORM5!D11:D610,"22600",FORM5!I11:I610)</f>
        <v>0</v>
      </c>
    </row>
    <row r="38" spans="1:4" ht="14.1" customHeight="1" x14ac:dyDescent="0.3">
      <c r="A38" s="53" t="s">
        <v>74</v>
      </c>
      <c r="B38" s="20" t="s">
        <v>75</v>
      </c>
      <c r="C38" s="49"/>
      <c r="D38" s="58">
        <f>SUMIF(FORM5!D11:D610,"23100",FORM5!I11:I610)</f>
        <v>0</v>
      </c>
    </row>
    <row r="39" spans="1:4" ht="14.1" customHeight="1" x14ac:dyDescent="0.3">
      <c r="A39" s="53" t="s">
        <v>76</v>
      </c>
      <c r="B39" s="20" t="s">
        <v>77</v>
      </c>
      <c r="C39" s="49"/>
      <c r="D39" s="58">
        <f>SUMIF(FORM5!D11:D610,"23200",FORM5!I11:I610)</f>
        <v>0</v>
      </c>
    </row>
    <row r="40" spans="1:4" ht="14.1" customHeight="1" x14ac:dyDescent="0.3">
      <c r="A40" s="53">
        <v>23400</v>
      </c>
      <c r="B40" s="20" t="s">
        <v>78</v>
      </c>
      <c r="C40" s="49"/>
      <c r="D40" s="58">
        <f>SUMIF(FORM5!D11:D610,"23400",FORM5!I11:I610)</f>
        <v>0</v>
      </c>
    </row>
    <row r="41" spans="1:4" ht="14.1" customHeight="1" x14ac:dyDescent="0.3">
      <c r="A41" s="53">
        <v>24110</v>
      </c>
      <c r="B41" s="20" t="s">
        <v>79</v>
      </c>
      <c r="C41" s="49"/>
      <c r="D41" s="58">
        <f>SUMIF(FORM5!D11:D610,"24110",FORM5!I11:I610)</f>
        <v>0</v>
      </c>
    </row>
    <row r="42" spans="1:4" ht="14.1" customHeight="1" x14ac:dyDescent="0.3">
      <c r="A42" s="53">
        <v>24120</v>
      </c>
      <c r="B42" s="20" t="s">
        <v>80</v>
      </c>
      <c r="C42" s="49"/>
      <c r="D42" s="58">
        <f>SUMIF(FORM5!D11:D610,"24120",FORM5!I11:I610)</f>
        <v>0</v>
      </c>
    </row>
    <row r="43" spans="1:4" ht="14.1" customHeight="1" x14ac:dyDescent="0.3">
      <c r="A43" s="53">
        <v>24130</v>
      </c>
      <c r="B43" s="20" t="s">
        <v>81</v>
      </c>
      <c r="C43" s="49"/>
      <c r="D43" s="58">
        <f>SUMIF(FORM5!D11:D610,"24130",FORM5!I11:I610)</f>
        <v>0</v>
      </c>
    </row>
    <row r="44" spans="1:4" ht="14.1" customHeight="1" x14ac:dyDescent="0.3">
      <c r="A44" s="53">
        <v>24300</v>
      </c>
      <c r="B44" s="20" t="s">
        <v>82</v>
      </c>
      <c r="C44" s="49"/>
      <c r="D44" s="58">
        <f>SUMIF(FORM5!D11:D610,"24300",FORM5!I11:I610)</f>
        <v>0</v>
      </c>
    </row>
    <row r="45" spans="1:4" ht="14.1" customHeight="1" x14ac:dyDescent="0.3">
      <c r="A45" s="53">
        <v>25120</v>
      </c>
      <c r="B45" s="20" t="s">
        <v>83</v>
      </c>
      <c r="C45" s="49"/>
      <c r="D45" s="58">
        <f>SUMIF(FORM5!D11:D610,"25120",FORM5!I11:I610)</f>
        <v>0</v>
      </c>
    </row>
    <row r="46" spans="1:4" ht="14.1" customHeight="1" x14ac:dyDescent="0.3">
      <c r="A46" s="53">
        <v>25210</v>
      </c>
      <c r="B46" s="20" t="s">
        <v>84</v>
      </c>
      <c r="C46" s="49"/>
      <c r="D46" s="58">
        <f>SUMIF(FORM5!D11:D610,"25210",FORM5!I11:I610)</f>
        <v>0</v>
      </c>
    </row>
    <row r="47" spans="1:4" ht="14.1" customHeight="1" x14ac:dyDescent="0.3">
      <c r="A47" s="53">
        <v>25220</v>
      </c>
      <c r="B47" s="20" t="s">
        <v>85</v>
      </c>
      <c r="C47" s="49"/>
      <c r="D47" s="58">
        <f>SUMIF(FORM5!D11:D610,"25220",FORM5!I11:I610)</f>
        <v>0</v>
      </c>
    </row>
    <row r="48" spans="1:4" ht="14.1" customHeight="1" x14ac:dyDescent="0.3">
      <c r="A48" s="53">
        <v>25230</v>
      </c>
      <c r="B48" s="20" t="s">
        <v>86</v>
      </c>
      <c r="C48" s="49"/>
      <c r="D48" s="58">
        <f>SUMIF(FORM5!D11:D610,"25230",FORM5!I11:I610)</f>
        <v>0</v>
      </c>
    </row>
    <row r="49" spans="1:4" ht="14.1" customHeight="1" x14ac:dyDescent="0.3">
      <c r="A49" s="53" t="s">
        <v>87</v>
      </c>
      <c r="B49" s="20" t="s">
        <v>88</v>
      </c>
      <c r="C49" s="49"/>
      <c r="D49" s="58">
        <f>SUMIF(FORM5!D11:D610,"25300",FORM5!I11:I610)</f>
        <v>0</v>
      </c>
    </row>
    <row r="50" spans="1:4" ht="14.1" customHeight="1" x14ac:dyDescent="0.3">
      <c r="A50" s="53" t="s">
        <v>89</v>
      </c>
      <c r="B50" s="20" t="s">
        <v>90</v>
      </c>
      <c r="C50" s="49"/>
      <c r="D50" s="58">
        <f>SUMIF(FORM5!D11:D610,"25400",FORM5!I11:I610)</f>
        <v>0</v>
      </c>
    </row>
    <row r="51" spans="1:4" ht="14.1" customHeight="1" x14ac:dyDescent="0.3">
      <c r="A51" s="53" t="s">
        <v>91</v>
      </c>
      <c r="B51" s="20" t="s">
        <v>92</v>
      </c>
      <c r="C51" s="49"/>
      <c r="D51" s="58">
        <f>SUMIF(FORM5!D11:D610,"25500",FORM5!I11:I610)</f>
        <v>0</v>
      </c>
    </row>
    <row r="52" spans="1:4" ht="14.1" customHeight="1" x14ac:dyDescent="0.3">
      <c r="A52" s="53" t="s">
        <v>93</v>
      </c>
      <c r="B52" s="20" t="s">
        <v>94</v>
      </c>
      <c r="C52" s="49"/>
      <c r="D52" s="58">
        <f>SUMIF(FORM5!D11:D610,"25600",FORM5!I11:I610)</f>
        <v>0</v>
      </c>
    </row>
    <row r="53" spans="1:4" ht="14.1" customHeight="1" x14ac:dyDescent="0.3">
      <c r="A53" s="53" t="s">
        <v>95</v>
      </c>
      <c r="B53" s="20" t="s">
        <v>96</v>
      </c>
      <c r="C53" s="49"/>
      <c r="D53" s="58">
        <f>SUMIF(FORM5!D11:D610,"25700",FORM5!I11:I610)</f>
        <v>0</v>
      </c>
    </row>
    <row r="54" spans="1:4" ht="14.1" customHeight="1" x14ac:dyDescent="0.3">
      <c r="A54" s="53">
        <v>25900</v>
      </c>
      <c r="B54" s="20" t="s">
        <v>97</v>
      </c>
      <c r="C54" s="49"/>
      <c r="D54" s="58">
        <f>SUMIF(FORM5!D11:D610,"25900",FORM5!I11:I610)</f>
        <v>0</v>
      </c>
    </row>
    <row r="55" spans="1:4" ht="14.1" customHeight="1" x14ac:dyDescent="0.3">
      <c r="A55" s="53" t="s">
        <v>98</v>
      </c>
      <c r="B55" s="20" t="s">
        <v>99</v>
      </c>
      <c r="C55" s="49"/>
      <c r="D55" s="58">
        <f>SUMIF(FORM5!D11:D610,"26200",FORM5!I11:I610)</f>
        <v>0</v>
      </c>
    </row>
    <row r="56" spans="1:4" ht="14.1" customHeight="1" x14ac:dyDescent="0.3">
      <c r="A56" s="53">
        <v>26610</v>
      </c>
      <c r="B56" s="20" t="s">
        <v>100</v>
      </c>
      <c r="C56" s="49"/>
      <c r="D56" s="58">
        <f>SUMIF(FORM5!D11:D610,"26610",FORM5!I11:I610)</f>
        <v>0</v>
      </c>
    </row>
    <row r="57" spans="1:4" ht="14.1" customHeight="1" x14ac:dyDescent="0.3">
      <c r="A57" s="53">
        <v>26620</v>
      </c>
      <c r="B57" s="20" t="s">
        <v>101</v>
      </c>
      <c r="C57" s="50"/>
      <c r="D57" s="59">
        <f>SUMIF(FORM5!D11:D610,"26620",FORM5!I11:I610)</f>
        <v>0</v>
      </c>
    </row>
    <row r="58" spans="1:4" ht="14.1" customHeight="1" x14ac:dyDescent="0.3">
      <c r="A58" s="53">
        <v>26630</v>
      </c>
      <c r="B58" s="20" t="s">
        <v>102</v>
      </c>
      <c r="C58" s="50"/>
      <c r="D58" s="59">
        <f>SUMIF(FORM5!D11:D610,"26630",FORM5!I11:I610)</f>
        <v>0</v>
      </c>
    </row>
    <row r="59" spans="1:4" ht="14.1" customHeight="1" x14ac:dyDescent="0.3">
      <c r="A59" s="53">
        <v>26950</v>
      </c>
      <c r="B59" s="20" t="s">
        <v>103</v>
      </c>
      <c r="C59" s="50"/>
      <c r="D59" s="59">
        <f>SUMIF(FORM5!D11:D610,"26950",FORM5!I11:I610)</f>
        <v>0</v>
      </c>
    </row>
    <row r="60" spans="1:4" ht="14.1" customHeight="1" x14ac:dyDescent="0.3">
      <c r="A60" s="53">
        <v>26990</v>
      </c>
      <c r="B60" s="20" t="s">
        <v>104</v>
      </c>
      <c r="C60" s="50"/>
      <c r="D60" s="59">
        <f>SUMIF(FORM5!D11:D610,"26990",FORM5!I11:I610)</f>
        <v>0</v>
      </c>
    </row>
    <row r="61" spans="1:4" s="17" customFormat="1" ht="15.95" customHeight="1" thickBot="1" x14ac:dyDescent="0.3">
      <c r="A61" s="41">
        <v>30000</v>
      </c>
      <c r="B61" s="44" t="s">
        <v>13</v>
      </c>
      <c r="C61" s="45"/>
      <c r="D61" s="57">
        <f>SUM(D62:D88)</f>
        <v>0</v>
      </c>
    </row>
    <row r="62" spans="1:4" ht="14.1" customHeight="1" x14ac:dyDescent="0.25">
      <c r="A62" s="52">
        <v>31110</v>
      </c>
      <c r="B62" s="19" t="s">
        <v>105</v>
      </c>
      <c r="C62" s="46"/>
      <c r="D62" s="58">
        <f>SUMIF(FORM5!D11:D610,"31110",FORM5!I11:I610)</f>
        <v>0</v>
      </c>
    </row>
    <row r="63" spans="1:4" ht="14.1" customHeight="1" x14ac:dyDescent="0.25">
      <c r="A63" s="53">
        <v>31120</v>
      </c>
      <c r="B63" s="20" t="s">
        <v>22</v>
      </c>
      <c r="C63" s="47"/>
      <c r="D63" s="59">
        <f>SUMIF(FORM5!D11:D610,"31120",FORM5!I11:I610)</f>
        <v>0</v>
      </c>
    </row>
    <row r="64" spans="1:4" ht="14.1" customHeight="1" x14ac:dyDescent="0.25">
      <c r="A64" s="53">
        <v>31140</v>
      </c>
      <c r="B64" s="20" t="s">
        <v>106</v>
      </c>
      <c r="C64" s="47"/>
      <c r="D64" s="59">
        <f>SUMIF(FORM5!D11:D610,"31140",FORM5!I11:I610)</f>
        <v>0</v>
      </c>
    </row>
    <row r="65" spans="1:4" ht="14.1" customHeight="1" x14ac:dyDescent="0.25">
      <c r="A65" s="53" t="s">
        <v>107</v>
      </c>
      <c r="B65" s="20" t="s">
        <v>17</v>
      </c>
      <c r="C65" s="47"/>
      <c r="D65" s="59">
        <f>SUMIF(FORM5!D11:D610,"32100",FORM5!I11:I610)</f>
        <v>0</v>
      </c>
    </row>
    <row r="66" spans="1:4" ht="14.1" customHeight="1" x14ac:dyDescent="0.25">
      <c r="A66" s="53" t="s">
        <v>108</v>
      </c>
      <c r="B66" s="20" t="s">
        <v>109</v>
      </c>
      <c r="C66" s="47"/>
      <c r="D66" s="59">
        <f>SUMIF(FORM5!D11:D610,"32200",FORM5!I11:I610)</f>
        <v>0</v>
      </c>
    </row>
    <row r="67" spans="1:4" ht="14.1" customHeight="1" x14ac:dyDescent="0.25">
      <c r="A67" s="53">
        <v>32300</v>
      </c>
      <c r="B67" s="20" t="s">
        <v>110</v>
      </c>
      <c r="C67" s="47"/>
      <c r="D67" s="59">
        <f>SUMIF(FORM5!D11:D610,"32300",FORM5!I11:I610)</f>
        <v>0</v>
      </c>
    </row>
    <row r="68" spans="1:4" ht="14.1" customHeight="1" x14ac:dyDescent="0.25">
      <c r="A68" s="53">
        <v>32500</v>
      </c>
      <c r="B68" s="20" t="s">
        <v>111</v>
      </c>
      <c r="C68" s="47"/>
      <c r="D68" s="59">
        <f>SUMIF(FORM5!D11:D610,"32500",FORM5!I11:I610)</f>
        <v>0</v>
      </c>
    </row>
    <row r="69" spans="1:4" ht="14.1" customHeight="1" x14ac:dyDescent="0.25">
      <c r="A69" s="53" t="s">
        <v>112</v>
      </c>
      <c r="B69" s="20" t="s">
        <v>113</v>
      </c>
      <c r="C69" s="47"/>
      <c r="D69" s="59">
        <f>SUMIF(FORM5!D11:D610,"33100",FORM5!I11:I610)</f>
        <v>0</v>
      </c>
    </row>
    <row r="70" spans="1:4" ht="14.1" customHeight="1" x14ac:dyDescent="0.25">
      <c r="A70" s="53" t="s">
        <v>114</v>
      </c>
      <c r="B70" s="20" t="s">
        <v>15</v>
      </c>
      <c r="C70" s="47"/>
      <c r="D70" s="59">
        <f>SUMIF(FORM5!D11:D610,"33200",FORM5!I11:I610)</f>
        <v>0</v>
      </c>
    </row>
    <row r="71" spans="1:4" ht="14.1" customHeight="1" x14ac:dyDescent="0.25">
      <c r="A71" s="53" t="s">
        <v>115</v>
      </c>
      <c r="B71" s="20" t="s">
        <v>16</v>
      </c>
      <c r="C71" s="47"/>
      <c r="D71" s="59">
        <f>SUMIF(FORM5!D11:D610,"33300",FORM5!I11:I610)</f>
        <v>0</v>
      </c>
    </row>
    <row r="72" spans="1:4" ht="14.1" customHeight="1" x14ac:dyDescent="0.25">
      <c r="A72" s="53" t="s">
        <v>116</v>
      </c>
      <c r="B72" s="20" t="s">
        <v>117</v>
      </c>
      <c r="C72" s="47"/>
      <c r="D72" s="59">
        <f>SUMIF(FORM5!D11:D610,"33400",FORM5!I11:I610)</f>
        <v>0</v>
      </c>
    </row>
    <row r="73" spans="1:4" ht="14.1" customHeight="1" x14ac:dyDescent="0.25">
      <c r="A73" s="53">
        <v>34110</v>
      </c>
      <c r="B73" s="20" t="s">
        <v>118</v>
      </c>
      <c r="C73" s="47"/>
      <c r="D73" s="59">
        <f>SUMIF(FORM5!D11:D610,"34110",FORM5!I11:I610)</f>
        <v>0</v>
      </c>
    </row>
    <row r="74" spans="1:4" ht="14.1" customHeight="1" x14ac:dyDescent="0.25">
      <c r="A74" s="53" t="s">
        <v>119</v>
      </c>
      <c r="B74" s="20" t="s">
        <v>120</v>
      </c>
      <c r="C74" s="47"/>
      <c r="D74" s="59">
        <f>SUMIF(FORM5!D11:D610,"34200",FORM5!I11:I610)</f>
        <v>0</v>
      </c>
    </row>
    <row r="75" spans="1:4" ht="14.1" customHeight="1" x14ac:dyDescent="0.25">
      <c r="A75" s="53" t="s">
        <v>121</v>
      </c>
      <c r="B75" s="20" t="s">
        <v>122</v>
      </c>
      <c r="C75" s="47"/>
      <c r="D75" s="59">
        <f>SUMIF(FORM5!D11:D610,"34300",FORM5!I11:I610)</f>
        <v>0</v>
      </c>
    </row>
    <row r="76" spans="1:4" ht="14.1" customHeight="1" x14ac:dyDescent="0.25">
      <c r="A76" s="53" t="s">
        <v>123</v>
      </c>
      <c r="B76" s="20" t="s">
        <v>124</v>
      </c>
      <c r="C76" s="47"/>
      <c r="D76" s="59">
        <f>SUMIF(FORM5!D11:D610,"34400",FORM5!I11:I610)</f>
        <v>0</v>
      </c>
    </row>
    <row r="77" spans="1:4" ht="14.1" customHeight="1" x14ac:dyDescent="0.25">
      <c r="A77" s="53" t="s">
        <v>125</v>
      </c>
      <c r="B77" s="20" t="s">
        <v>126</v>
      </c>
      <c r="C77" s="47"/>
      <c r="D77" s="59">
        <f>SUMIF(FORM5!D11:D610,"34500",FORM5!I11:I610)</f>
        <v>0</v>
      </c>
    </row>
    <row r="78" spans="1:4" ht="14.1" customHeight="1" x14ac:dyDescent="0.25">
      <c r="A78" s="53">
        <v>34600</v>
      </c>
      <c r="B78" s="20" t="s">
        <v>127</v>
      </c>
      <c r="C78" s="47"/>
      <c r="D78" s="59">
        <f>SUMIF(FORM5!D11:D610,"34600",FORM5!I11:I610)</f>
        <v>0</v>
      </c>
    </row>
    <row r="79" spans="1:4" ht="14.1" customHeight="1" x14ac:dyDescent="0.25">
      <c r="A79" s="53" t="s">
        <v>128</v>
      </c>
      <c r="B79" s="20" t="s">
        <v>129</v>
      </c>
      <c r="C79" s="47"/>
      <c r="D79" s="59">
        <f>SUMIF(FORM5!D11:D610,"34800",FORM5!I11:I610)</f>
        <v>0</v>
      </c>
    </row>
    <row r="80" spans="1:4" ht="14.1" customHeight="1" x14ac:dyDescent="0.25">
      <c r="A80" s="53" t="s">
        <v>130</v>
      </c>
      <c r="B80" s="20" t="s">
        <v>19</v>
      </c>
      <c r="C80" s="47"/>
      <c r="D80" s="59">
        <f>SUMIF(FORM5!D11:D610,"39100",FORM5!I11:I610)</f>
        <v>0</v>
      </c>
    </row>
    <row r="81" spans="1:4" ht="14.1" customHeight="1" x14ac:dyDescent="0.25">
      <c r="A81" s="53" t="s">
        <v>131</v>
      </c>
      <c r="B81" s="20" t="s">
        <v>132</v>
      </c>
      <c r="C81" s="47"/>
      <c r="D81" s="59">
        <f>SUMIF(FORM5!D11:D610,"39200",FORM5!I11:I610)</f>
        <v>0</v>
      </c>
    </row>
    <row r="82" spans="1:4" ht="14.1" customHeight="1" x14ac:dyDescent="0.25">
      <c r="A82" s="53" t="s">
        <v>133</v>
      </c>
      <c r="B82" s="20" t="s">
        <v>134</v>
      </c>
      <c r="C82" s="47"/>
      <c r="D82" s="59">
        <f>SUMIF(FORM5!D11:D610,"39300",FORM5!I11:I610)</f>
        <v>0</v>
      </c>
    </row>
    <row r="83" spans="1:4" ht="14.1" customHeight="1" x14ac:dyDescent="0.25">
      <c r="A83" s="53" t="s">
        <v>135</v>
      </c>
      <c r="B83" s="20" t="s">
        <v>136</v>
      </c>
      <c r="C83" s="47"/>
      <c r="D83" s="59">
        <f>SUMIF(FORM5!D11:D610,"39400",FORM5!I11:I610)</f>
        <v>0</v>
      </c>
    </row>
    <row r="84" spans="1:4" ht="14.1" customHeight="1" x14ac:dyDescent="0.25">
      <c r="A84" s="53" t="s">
        <v>137</v>
      </c>
      <c r="B84" s="20" t="s">
        <v>138</v>
      </c>
      <c r="C84" s="47"/>
      <c r="D84" s="59">
        <f>SUMIF(FORM5!D11:D610,"39500",FORM5!I11:I610)</f>
        <v>0</v>
      </c>
    </row>
    <row r="85" spans="1:4" ht="14.1" customHeight="1" x14ac:dyDescent="0.25">
      <c r="A85" s="53">
        <v>39600</v>
      </c>
      <c r="B85" s="20" t="s">
        <v>139</v>
      </c>
      <c r="C85" s="47"/>
      <c r="D85" s="59">
        <f>SUMIF(FORM5!D11:D610,"39600",FORM5!I11:I610)</f>
        <v>0</v>
      </c>
    </row>
    <row r="86" spans="1:4" ht="14.1" customHeight="1" x14ac:dyDescent="0.25">
      <c r="A86" s="53" t="s">
        <v>140</v>
      </c>
      <c r="B86" s="20" t="s">
        <v>141</v>
      </c>
      <c r="C86" s="47"/>
      <c r="D86" s="59">
        <f>SUMIF(FORM5!D11:D610,"39700",FORM5!I11:I610)</f>
        <v>0</v>
      </c>
    </row>
    <row r="87" spans="1:4" ht="14.1" customHeight="1" x14ac:dyDescent="0.25">
      <c r="A87" s="53" t="s">
        <v>142</v>
      </c>
      <c r="B87" s="20" t="s">
        <v>143</v>
      </c>
      <c r="C87" s="47"/>
      <c r="D87" s="59">
        <f>SUMIF(FORM5!D11:D610,"39800",FORM5!I11:I610)</f>
        <v>0</v>
      </c>
    </row>
    <row r="88" spans="1:4" ht="14.1" customHeight="1" x14ac:dyDescent="0.25">
      <c r="A88" s="53">
        <v>39990</v>
      </c>
      <c r="B88" s="20" t="s">
        <v>18</v>
      </c>
      <c r="C88" s="47"/>
      <c r="D88" s="59">
        <f>SUMIF(FORM5!D11:D610,"39990",FORM5!I11:I610)</f>
        <v>0</v>
      </c>
    </row>
    <row r="89" spans="1:4" s="17" customFormat="1" ht="15.95" customHeight="1" thickBot="1" x14ac:dyDescent="0.3">
      <c r="A89" s="41">
        <v>40000</v>
      </c>
      <c r="B89" s="44" t="s">
        <v>144</v>
      </c>
      <c r="C89" s="45"/>
      <c r="D89" s="57">
        <f>SUM(D90:D106)</f>
        <v>0</v>
      </c>
    </row>
    <row r="90" spans="1:4" ht="14.1" customHeight="1" x14ac:dyDescent="0.25">
      <c r="A90" s="52">
        <v>41100</v>
      </c>
      <c r="B90" s="19" t="s">
        <v>145</v>
      </c>
      <c r="C90" s="46"/>
      <c r="D90" s="58">
        <f>SUMIF(FORM5!D11:D610,"41100",FORM5!I11:I610)</f>
        <v>0</v>
      </c>
    </row>
    <row r="91" spans="1:4" ht="14.1" customHeight="1" x14ac:dyDescent="0.25">
      <c r="A91" s="53">
        <v>41200</v>
      </c>
      <c r="B91" s="20" t="s">
        <v>146</v>
      </c>
      <c r="C91" s="47"/>
      <c r="D91" s="59">
        <f>SUMIF(FORM5!D11:D610,"41200",FORM5!I11:I610)</f>
        <v>0</v>
      </c>
    </row>
    <row r="92" spans="1:4" ht="14.1" customHeight="1" x14ac:dyDescent="0.25">
      <c r="A92" s="53">
        <v>41300</v>
      </c>
      <c r="B92" s="20" t="s">
        <v>147</v>
      </c>
      <c r="C92" s="47"/>
      <c r="D92" s="59">
        <f>SUMIF(FORM5!D11:D610,"41300",FORM5!I11:I610)</f>
        <v>0</v>
      </c>
    </row>
    <row r="93" spans="1:4" ht="14.1" customHeight="1" x14ac:dyDescent="0.25">
      <c r="A93" s="53" t="s">
        <v>148</v>
      </c>
      <c r="B93" s="14" t="s">
        <v>149</v>
      </c>
      <c r="C93" s="48"/>
      <c r="D93" s="59">
        <f>SUMIF(FORM5!D11:D610,"42230",FORM5!I11:I610)</f>
        <v>0</v>
      </c>
    </row>
    <row r="94" spans="1:4" ht="14.1" customHeight="1" x14ac:dyDescent="0.25">
      <c r="A94" s="53">
        <v>42240</v>
      </c>
      <c r="B94" s="14" t="s">
        <v>150</v>
      </c>
      <c r="C94" s="48"/>
      <c r="D94" s="59">
        <f>SUMIF(FORM5!D11:D610,"42240",FORM5!I11:I610)</f>
        <v>0</v>
      </c>
    </row>
    <row r="95" spans="1:4" ht="14.1" customHeight="1" x14ac:dyDescent="0.25">
      <c r="A95" s="53">
        <v>43110</v>
      </c>
      <c r="B95" s="20" t="s">
        <v>151</v>
      </c>
      <c r="C95" s="47"/>
      <c r="D95" s="59">
        <f>SUMIF(FORM5!D11:D610,"43110",FORM5!I11:I610)</f>
        <v>0</v>
      </c>
    </row>
    <row r="96" spans="1:4" ht="14.1" customHeight="1" x14ac:dyDescent="0.25">
      <c r="A96" s="53">
        <v>43120</v>
      </c>
      <c r="B96" s="20" t="s">
        <v>152</v>
      </c>
      <c r="C96" s="47"/>
      <c r="D96" s="59">
        <f>SUMIF(FORM5!D11:D610,"43120",FORM5!I11:I610)</f>
        <v>0</v>
      </c>
    </row>
    <row r="97" spans="1:4" ht="14.1" customHeight="1" x14ac:dyDescent="0.25">
      <c r="A97" s="53">
        <v>43310</v>
      </c>
      <c r="B97" s="20" t="s">
        <v>153</v>
      </c>
      <c r="C97" s="47"/>
      <c r="D97" s="59">
        <f>SUMIF(FORM5!D11:D610,"43310",FORM5!I11:I610)</f>
        <v>0</v>
      </c>
    </row>
    <row r="98" spans="1:4" ht="14.1" customHeight="1" x14ac:dyDescent="0.25">
      <c r="A98" s="53">
        <v>43330</v>
      </c>
      <c r="B98" s="20" t="s">
        <v>154</v>
      </c>
      <c r="C98" s="47"/>
      <c r="D98" s="59">
        <f>SUMIF(FORM5!D11:D610,"43330",FORM5!I11:I610)</f>
        <v>0</v>
      </c>
    </row>
    <row r="99" spans="1:4" ht="14.1" customHeight="1" x14ac:dyDescent="0.25">
      <c r="A99" s="53">
        <v>43340</v>
      </c>
      <c r="B99" s="20" t="s">
        <v>155</v>
      </c>
      <c r="C99" s="47"/>
      <c r="D99" s="59">
        <f>SUMIF(FORM5!D11:D610,"43340",FORM5!I11:I610)</f>
        <v>0</v>
      </c>
    </row>
    <row r="100" spans="1:4" ht="14.1" customHeight="1" x14ac:dyDescent="0.25">
      <c r="A100" s="53" t="s">
        <v>156</v>
      </c>
      <c r="B100" s="20" t="s">
        <v>157</v>
      </c>
      <c r="C100" s="47"/>
      <c r="D100" s="59">
        <f>SUMIF(FORM5!D11:D610,"43400",FORM5!I11:I610)</f>
        <v>0</v>
      </c>
    </row>
    <row r="101" spans="1:4" ht="14.1" customHeight="1" x14ac:dyDescent="0.25">
      <c r="A101" s="53" t="s">
        <v>158</v>
      </c>
      <c r="B101" s="20" t="s">
        <v>159</v>
      </c>
      <c r="C101" s="47"/>
      <c r="D101" s="59">
        <f>SUMIF(FORM5!D11:D610,"43500",FORM5!I11:I610)</f>
        <v>0</v>
      </c>
    </row>
    <row r="102" spans="1:4" ht="14.1" customHeight="1" x14ac:dyDescent="0.25">
      <c r="A102" s="53" t="s">
        <v>160</v>
      </c>
      <c r="B102" s="20" t="s">
        <v>161</v>
      </c>
      <c r="C102" s="47"/>
      <c r="D102" s="59">
        <f>SUMIF(FORM5!D11:D610,"43600",FORM5!I11:I610)</f>
        <v>0</v>
      </c>
    </row>
    <row r="103" spans="1:4" ht="14.1" customHeight="1" x14ac:dyDescent="0.25">
      <c r="A103" s="53" t="s">
        <v>162</v>
      </c>
      <c r="B103" s="20" t="s">
        <v>163</v>
      </c>
      <c r="C103" s="47"/>
      <c r="D103" s="59">
        <f>SUMIF(FORM5!D11:D610,"43700",FORM5!I11:I610)</f>
        <v>0</v>
      </c>
    </row>
    <row r="104" spans="1:4" ht="14.1" customHeight="1" x14ac:dyDescent="0.25">
      <c r="A104" s="53">
        <v>46110</v>
      </c>
      <c r="B104" s="14" t="s">
        <v>164</v>
      </c>
      <c r="C104" s="48"/>
      <c r="D104" s="59">
        <f>SUMIF(FORM5!D11:D610,"46110",FORM5!I11:I610)</f>
        <v>0</v>
      </c>
    </row>
    <row r="105" spans="1:4" ht="14.1" customHeight="1" x14ac:dyDescent="0.25">
      <c r="A105" s="53">
        <v>49100</v>
      </c>
      <c r="B105" s="20" t="s">
        <v>165</v>
      </c>
      <c r="C105" s="47"/>
      <c r="D105" s="59">
        <f>SUMIF(FORM5!D11:D610,"49100",FORM5!I11:I610)</f>
        <v>0</v>
      </c>
    </row>
    <row r="106" spans="1:4" ht="14.1" customHeight="1" x14ac:dyDescent="0.25">
      <c r="A106" s="53">
        <v>49900</v>
      </c>
      <c r="B106" s="20" t="s">
        <v>166</v>
      </c>
      <c r="C106" s="47"/>
      <c r="D106" s="59">
        <f>SUMIF(FORM5!D11:D610,"49900",FORM5!I11:I610)</f>
        <v>0</v>
      </c>
    </row>
    <row r="107" spans="1:4" s="17" customFormat="1" ht="15.95" customHeight="1" thickBot="1" x14ac:dyDescent="0.3">
      <c r="A107" s="41">
        <v>50000</v>
      </c>
      <c r="B107" s="44" t="s">
        <v>167</v>
      </c>
      <c r="C107" s="42"/>
      <c r="D107" s="57">
        <f>SUM(D108)</f>
        <v>0</v>
      </c>
    </row>
    <row r="108" spans="1:4" ht="14.1" customHeight="1" x14ac:dyDescent="0.25">
      <c r="A108" s="52" t="s">
        <v>168</v>
      </c>
      <c r="B108" s="19" t="s">
        <v>169</v>
      </c>
      <c r="C108" s="46"/>
      <c r="D108" s="58">
        <f>SUMIF(FORM5!D11:D610,"57100",FORM5!I11:I610)</f>
        <v>0</v>
      </c>
    </row>
    <row r="109" spans="1:4" s="17" customFormat="1" ht="15.95" customHeight="1" thickBot="1" x14ac:dyDescent="0.3">
      <c r="A109" s="41">
        <v>60000</v>
      </c>
      <c r="B109" s="44" t="s">
        <v>170</v>
      </c>
      <c r="C109" s="42"/>
      <c r="D109" s="57">
        <f>SUM(D110:D117)</f>
        <v>0</v>
      </c>
    </row>
    <row r="110" spans="1:4" ht="14.1" customHeight="1" x14ac:dyDescent="0.25">
      <c r="A110" s="52">
        <v>62100</v>
      </c>
      <c r="B110" s="19" t="s">
        <v>171</v>
      </c>
      <c r="C110" s="46"/>
      <c r="D110" s="58">
        <f>SUMIF(FORM5!D11:D610,"62100",FORM5!I11:I610)</f>
        <v>0</v>
      </c>
    </row>
    <row r="111" spans="1:4" ht="14.1" customHeight="1" x14ac:dyDescent="0.25">
      <c r="A111" s="53">
        <v>62200</v>
      </c>
      <c r="B111" s="20" t="s">
        <v>172</v>
      </c>
      <c r="C111" s="47"/>
      <c r="D111" s="59">
        <f>SUMIF(FORM5!D11:D610,"62200",FORM5!I11:I610)</f>
        <v>0</v>
      </c>
    </row>
    <row r="112" spans="1:4" ht="14.1" customHeight="1" x14ac:dyDescent="0.25">
      <c r="A112" s="53">
        <v>62300</v>
      </c>
      <c r="B112" s="20" t="s">
        <v>173</v>
      </c>
      <c r="C112" s="47"/>
      <c r="D112" s="59">
        <f>SUMIF(FORM5!D11:D610,"62300",FORM5!I11:I610)</f>
        <v>0</v>
      </c>
    </row>
    <row r="113" spans="1:4" ht="14.1" customHeight="1" x14ac:dyDescent="0.25">
      <c r="A113" s="53">
        <v>66100</v>
      </c>
      <c r="B113" s="20" t="s">
        <v>174</v>
      </c>
      <c r="C113" s="47"/>
      <c r="D113" s="59">
        <f>SUMIF(FORM5!D11:D610,"66100",FORM5!I11:I610)</f>
        <v>0</v>
      </c>
    </row>
    <row r="114" spans="1:4" ht="14.1" customHeight="1" x14ac:dyDescent="0.25">
      <c r="A114" s="53">
        <v>66200</v>
      </c>
      <c r="B114" s="21" t="s">
        <v>175</v>
      </c>
      <c r="C114" s="54"/>
      <c r="D114" s="59">
        <f>SUMIF(FORM5!D11:D610,"66200",FORM5!I11:I610)</f>
        <v>0</v>
      </c>
    </row>
    <row r="115" spans="1:4" ht="14.1" customHeight="1" x14ac:dyDescent="0.25">
      <c r="A115" s="53">
        <v>66300</v>
      </c>
      <c r="B115" s="20" t="s">
        <v>176</v>
      </c>
      <c r="C115" s="47"/>
      <c r="D115" s="59">
        <f>SUMIF(FORM5!D11:D610,"66300",FORM5!I11:I610)</f>
        <v>0</v>
      </c>
    </row>
    <row r="116" spans="1:4" ht="14.1" customHeight="1" x14ac:dyDescent="0.25">
      <c r="A116" s="53">
        <v>66400</v>
      </c>
      <c r="B116" s="20" t="s">
        <v>177</v>
      </c>
      <c r="C116" s="47"/>
      <c r="D116" s="59">
        <f>SUMIF(FORM5!D11:D610,"66400",FORM5!I11:I610)</f>
        <v>0</v>
      </c>
    </row>
    <row r="117" spans="1:4" ht="14.1" customHeight="1" x14ac:dyDescent="0.25">
      <c r="A117" s="53" t="s">
        <v>178</v>
      </c>
      <c r="B117" s="20" t="s">
        <v>179</v>
      </c>
      <c r="C117" s="47"/>
      <c r="D117" s="59">
        <f>SUMIF(FORM5!D11:D610,"68200",FORM5!I11:I610)</f>
        <v>0</v>
      </c>
    </row>
    <row r="118" spans="1:4" s="17" customFormat="1" ht="15.95" customHeight="1" thickBot="1" x14ac:dyDescent="0.3">
      <c r="A118" s="43">
        <v>70000</v>
      </c>
      <c r="B118" s="44" t="s">
        <v>180</v>
      </c>
      <c r="C118" s="45"/>
      <c r="D118" s="57">
        <f>SUM(D119:D121)</f>
        <v>0</v>
      </c>
    </row>
    <row r="119" spans="1:4" ht="14.1" customHeight="1" x14ac:dyDescent="0.25">
      <c r="A119" s="52">
        <v>71220</v>
      </c>
      <c r="B119" s="19" t="s">
        <v>181</v>
      </c>
      <c r="C119" s="46"/>
      <c r="D119" s="58">
        <f>SUMIF(FORM5!D11:D610,"71220",FORM5!I11:I610)</f>
        <v>0</v>
      </c>
    </row>
    <row r="120" spans="1:4" ht="14.1" customHeight="1" x14ac:dyDescent="0.25">
      <c r="A120" s="53" t="s">
        <v>182</v>
      </c>
      <c r="B120" s="20" t="s">
        <v>183</v>
      </c>
      <c r="C120" s="47"/>
      <c r="D120" s="59">
        <f>SUMIF(FORM5!D11:D610,"73100",FORM5!I11:I610)</f>
        <v>0</v>
      </c>
    </row>
    <row r="121" spans="1:4" ht="14.1" customHeight="1" x14ac:dyDescent="0.25">
      <c r="A121" s="53">
        <v>73200</v>
      </c>
      <c r="B121" s="20" t="s">
        <v>184</v>
      </c>
      <c r="C121" s="47"/>
      <c r="D121" s="59">
        <f>SUMIF(FORM5!D11:D610,"73200",FORM5!I11:I610)</f>
        <v>0</v>
      </c>
    </row>
    <row r="122" spans="1:4" s="17" customFormat="1" ht="15.95" customHeight="1" thickBot="1" x14ac:dyDescent="0.3">
      <c r="A122" s="41">
        <v>90000</v>
      </c>
      <c r="B122" s="44" t="s">
        <v>185</v>
      </c>
      <c r="C122" s="42"/>
      <c r="D122" s="57">
        <f>SUM(D123:D128)</f>
        <v>0</v>
      </c>
    </row>
    <row r="123" spans="1:4" ht="14.1" customHeight="1" x14ac:dyDescent="0.25">
      <c r="A123" s="52">
        <v>94100</v>
      </c>
      <c r="B123" s="19" t="s">
        <v>186</v>
      </c>
      <c r="C123" s="46"/>
      <c r="D123" s="58">
        <f>SUMIF(FORM5!D11:D610,"94100",FORM5!I11:I610)</f>
        <v>0</v>
      </c>
    </row>
    <row r="124" spans="1:4" ht="14.1" customHeight="1" x14ac:dyDescent="0.25">
      <c r="A124" s="53">
        <v>94200</v>
      </c>
      <c r="B124" s="20" t="s">
        <v>187</v>
      </c>
      <c r="C124" s="47"/>
      <c r="D124" s="59">
        <f>SUMIF(FORM5!D11:D610,"94200",FORM5!I11:I610)</f>
        <v>0</v>
      </c>
    </row>
    <row r="125" spans="1:4" ht="14.1" customHeight="1" x14ac:dyDescent="0.25">
      <c r="A125" s="53">
        <v>96200</v>
      </c>
      <c r="B125" s="20" t="s">
        <v>188</v>
      </c>
      <c r="C125" s="47"/>
      <c r="D125" s="59">
        <f>SUMIF(FORM5!D11:D610,"96200",FORM5!I11:I610)</f>
        <v>0</v>
      </c>
    </row>
    <row r="126" spans="1:4" ht="14.1" customHeight="1" x14ac:dyDescent="0.25">
      <c r="A126" s="53">
        <v>96900</v>
      </c>
      <c r="B126" s="20" t="s">
        <v>189</v>
      </c>
      <c r="C126" s="47"/>
      <c r="D126" s="59">
        <f>SUMIF(FORM5!D11:D610,"96900",FORM5!I11:I610)</f>
        <v>0</v>
      </c>
    </row>
    <row r="127" spans="1:4" ht="14.1" customHeight="1" x14ac:dyDescent="0.25">
      <c r="A127" s="53">
        <v>99100</v>
      </c>
      <c r="B127" s="20" t="s">
        <v>190</v>
      </c>
      <c r="C127" s="47"/>
      <c r="D127" s="59">
        <f>SUMIF(FORM5!D11:D610,"99100",FORM5!I11:I610)</f>
        <v>0</v>
      </c>
    </row>
    <row r="128" spans="1:4" ht="14.1" customHeight="1" thickBot="1" x14ac:dyDescent="0.3">
      <c r="A128" s="55">
        <v>99200</v>
      </c>
      <c r="B128" s="22" t="s">
        <v>191</v>
      </c>
      <c r="C128" s="56"/>
      <c r="D128" s="60">
        <f>SUMIF(FORM5!D11:D610,"99200",FORM5!I11:I610)</f>
        <v>0</v>
      </c>
    </row>
    <row r="129" spans="1:16287" s="4" customFormat="1" ht="21" customHeight="1" thickTop="1" thickBot="1" x14ac:dyDescent="0.3">
      <c r="A129" s="99" t="s">
        <v>192</v>
      </c>
      <c r="B129" s="99"/>
      <c r="C129" s="72"/>
      <c r="D129" s="61">
        <f>D4+D24+D61+D89+D107+D109+D118+D122</f>
        <v>0</v>
      </c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18"/>
      <c r="HC129" s="18"/>
      <c r="HD129" s="18"/>
      <c r="HE129" s="18"/>
      <c r="HF129" s="18"/>
      <c r="HG129" s="18"/>
      <c r="HH129" s="18"/>
      <c r="HI129" s="18"/>
      <c r="HJ129" s="18"/>
      <c r="HK129" s="18"/>
      <c r="HL129" s="18"/>
      <c r="HM129" s="18"/>
      <c r="HN129" s="18"/>
      <c r="HO129" s="18"/>
      <c r="HP129" s="18"/>
      <c r="HQ129" s="18"/>
      <c r="HR129" s="18"/>
      <c r="HS129" s="18"/>
      <c r="HT129" s="18"/>
      <c r="HU129" s="18"/>
      <c r="HV129" s="18"/>
      <c r="HW129" s="18"/>
      <c r="HX129" s="18"/>
      <c r="HY129" s="18"/>
      <c r="HZ129" s="18"/>
      <c r="IA129" s="18"/>
      <c r="IB129" s="18"/>
      <c r="IC129" s="18"/>
      <c r="ID129" s="18"/>
      <c r="IE129" s="18"/>
      <c r="IF129" s="18"/>
      <c r="IG129" s="18"/>
      <c r="IH129" s="18"/>
      <c r="II129" s="18"/>
      <c r="IJ129" s="18"/>
      <c r="IK129" s="18"/>
      <c r="IL129" s="18"/>
      <c r="IM129" s="18"/>
      <c r="IN129" s="18"/>
      <c r="IO129" s="18"/>
      <c r="IP129" s="18"/>
      <c r="IQ129" s="18"/>
      <c r="IR129" s="18"/>
      <c r="IS129" s="18"/>
      <c r="IT129" s="18"/>
      <c r="IU129" s="18"/>
      <c r="IV129" s="18"/>
      <c r="IW129" s="18"/>
      <c r="IX129" s="18"/>
      <c r="IY129" s="18"/>
      <c r="IZ129" s="18"/>
      <c r="JA129" s="18"/>
      <c r="JB129" s="18"/>
      <c r="JC129" s="18"/>
      <c r="JD129" s="18"/>
      <c r="JE129" s="18"/>
      <c r="JF129" s="18"/>
      <c r="JG129" s="18"/>
      <c r="JH129" s="18"/>
      <c r="JI129" s="18"/>
      <c r="JJ129" s="18"/>
      <c r="JK129" s="18"/>
      <c r="JL129" s="18"/>
      <c r="JM129" s="18"/>
      <c r="JN129" s="18"/>
      <c r="JO129" s="18"/>
      <c r="JP129" s="18"/>
      <c r="JQ129" s="18"/>
      <c r="JR129" s="18"/>
      <c r="JS129" s="18"/>
      <c r="JT129" s="18"/>
      <c r="JU129" s="18"/>
      <c r="JV129" s="18"/>
      <c r="JW129" s="18"/>
      <c r="JX129" s="18"/>
      <c r="JY129" s="18"/>
      <c r="JZ129" s="18"/>
      <c r="KA129" s="18"/>
      <c r="KB129" s="18"/>
      <c r="KC129" s="18"/>
      <c r="KD129" s="18"/>
      <c r="KE129" s="18"/>
      <c r="KF129" s="18"/>
      <c r="KG129" s="18"/>
      <c r="KH129" s="18"/>
      <c r="KI129" s="18"/>
      <c r="KJ129" s="18"/>
      <c r="KK129" s="18"/>
      <c r="KL129" s="18"/>
      <c r="KM129" s="18"/>
      <c r="KN129" s="18"/>
      <c r="KO129" s="18"/>
      <c r="KP129" s="18"/>
      <c r="KQ129" s="18"/>
      <c r="KR129" s="18"/>
      <c r="KS129" s="18"/>
      <c r="KT129" s="18"/>
      <c r="KU129" s="18"/>
      <c r="KV129" s="18"/>
      <c r="KW129" s="18"/>
      <c r="KX129" s="18"/>
      <c r="KY129" s="18"/>
      <c r="KZ129" s="18"/>
      <c r="LA129" s="18"/>
      <c r="LB129" s="18"/>
      <c r="LC129" s="18"/>
      <c r="LD129" s="18"/>
      <c r="LE129" s="18"/>
      <c r="LF129" s="18"/>
      <c r="LG129" s="18"/>
      <c r="LH129" s="18"/>
      <c r="LI129" s="18"/>
      <c r="LJ129" s="18"/>
      <c r="LK129" s="18"/>
      <c r="LL129" s="18"/>
      <c r="LM129" s="18"/>
      <c r="LN129" s="18"/>
      <c r="LO129" s="18"/>
      <c r="LP129" s="18"/>
      <c r="LQ129" s="18"/>
      <c r="LR129" s="18"/>
      <c r="LS129" s="18"/>
      <c r="LT129" s="18"/>
      <c r="LU129" s="18"/>
      <c r="LV129" s="18"/>
      <c r="LW129" s="18"/>
      <c r="LX129" s="18"/>
      <c r="LY129" s="18"/>
      <c r="LZ129" s="18"/>
      <c r="MA129" s="18"/>
      <c r="MB129" s="18"/>
      <c r="MC129" s="18"/>
      <c r="MD129" s="18"/>
      <c r="ME129" s="18"/>
      <c r="MF129" s="18"/>
      <c r="MG129" s="18"/>
      <c r="MH129" s="18"/>
      <c r="MI129" s="18"/>
      <c r="MJ129" s="18"/>
      <c r="MK129" s="18"/>
      <c r="ML129" s="18"/>
      <c r="MM129" s="18"/>
      <c r="MN129" s="18"/>
      <c r="MO129" s="18"/>
      <c r="MP129" s="18"/>
      <c r="MQ129" s="18"/>
      <c r="MR129" s="18"/>
      <c r="MS129" s="18"/>
      <c r="MT129" s="18"/>
      <c r="MU129" s="18"/>
      <c r="MV129" s="18"/>
      <c r="MW129" s="18"/>
      <c r="MX129" s="18"/>
      <c r="MY129" s="18"/>
      <c r="MZ129" s="18"/>
      <c r="NA129" s="18"/>
      <c r="NB129" s="18"/>
      <c r="NC129" s="18"/>
      <c r="ND129" s="18"/>
      <c r="NE129" s="18"/>
      <c r="NF129" s="18"/>
      <c r="NG129" s="18"/>
      <c r="NH129" s="18"/>
      <c r="NI129" s="18"/>
      <c r="NJ129" s="18"/>
      <c r="NK129" s="18"/>
      <c r="NL129" s="18"/>
      <c r="NM129" s="18"/>
      <c r="NN129" s="18"/>
      <c r="NO129" s="18"/>
      <c r="NP129" s="18"/>
      <c r="NQ129" s="18"/>
      <c r="NR129" s="18"/>
      <c r="NS129" s="18"/>
      <c r="NT129" s="18"/>
      <c r="NU129" s="18"/>
      <c r="NV129" s="18"/>
      <c r="NW129" s="18"/>
      <c r="NX129" s="18"/>
      <c r="NY129" s="18"/>
      <c r="NZ129" s="18"/>
      <c r="OA129" s="18"/>
      <c r="OB129" s="18"/>
      <c r="OC129" s="18"/>
      <c r="OD129" s="18"/>
      <c r="OE129" s="18"/>
      <c r="OF129" s="18"/>
      <c r="OG129" s="18"/>
      <c r="OH129" s="18"/>
      <c r="OI129" s="18"/>
      <c r="OJ129" s="18"/>
      <c r="OK129" s="18"/>
      <c r="OL129" s="18"/>
      <c r="OM129" s="18"/>
      <c r="ON129" s="18"/>
      <c r="OO129" s="18"/>
      <c r="OP129" s="18"/>
      <c r="OQ129" s="18"/>
      <c r="OR129" s="18"/>
      <c r="OS129" s="18"/>
      <c r="OT129" s="18"/>
      <c r="OU129" s="18"/>
      <c r="OV129" s="18"/>
      <c r="OW129" s="18"/>
      <c r="OX129" s="18"/>
      <c r="OY129" s="18"/>
      <c r="OZ129" s="18"/>
      <c r="PA129" s="18"/>
      <c r="PB129" s="18"/>
      <c r="PC129" s="18"/>
      <c r="PD129" s="18"/>
      <c r="PE129" s="18"/>
      <c r="PF129" s="18"/>
      <c r="PG129" s="18"/>
      <c r="PH129" s="18"/>
      <c r="PI129" s="18"/>
      <c r="PJ129" s="18"/>
      <c r="PK129" s="18"/>
      <c r="PL129" s="18"/>
      <c r="PM129" s="18"/>
      <c r="PN129" s="18"/>
      <c r="PO129" s="18"/>
      <c r="PP129" s="18"/>
      <c r="PQ129" s="18"/>
      <c r="PR129" s="18"/>
      <c r="PS129" s="18"/>
      <c r="PT129" s="18"/>
      <c r="PU129" s="18"/>
      <c r="PV129" s="18"/>
      <c r="PW129" s="18"/>
      <c r="PX129" s="18"/>
      <c r="PY129" s="18"/>
      <c r="PZ129" s="18"/>
      <c r="QA129" s="18"/>
      <c r="QB129" s="18"/>
      <c r="QC129" s="18"/>
      <c r="QD129" s="18"/>
      <c r="QE129" s="18"/>
      <c r="QF129" s="18"/>
      <c r="QG129" s="18"/>
      <c r="QH129" s="18"/>
      <c r="QI129" s="18"/>
      <c r="QJ129" s="18"/>
      <c r="QK129" s="18"/>
      <c r="QL129" s="18"/>
      <c r="QM129" s="18"/>
      <c r="QN129" s="18"/>
      <c r="QO129" s="18"/>
      <c r="QP129" s="18"/>
      <c r="QQ129" s="18"/>
      <c r="QR129" s="18"/>
      <c r="QS129" s="18"/>
      <c r="QT129" s="18"/>
      <c r="QU129" s="18"/>
      <c r="QV129" s="18"/>
      <c r="QW129" s="18"/>
      <c r="QX129" s="18"/>
      <c r="QY129" s="18"/>
      <c r="QZ129" s="18"/>
      <c r="RA129" s="18"/>
      <c r="RB129" s="18"/>
      <c r="RC129" s="18"/>
      <c r="RD129" s="18"/>
      <c r="RE129" s="18"/>
      <c r="RF129" s="18"/>
      <c r="RG129" s="18"/>
      <c r="RH129" s="18"/>
      <c r="RI129" s="18"/>
      <c r="RJ129" s="18"/>
      <c r="RK129" s="18"/>
      <c r="RL129" s="18"/>
      <c r="RM129" s="18"/>
      <c r="RN129" s="18"/>
      <c r="RO129" s="18"/>
      <c r="RP129" s="18"/>
      <c r="RQ129" s="18"/>
      <c r="RR129" s="18"/>
      <c r="RS129" s="18"/>
      <c r="RT129" s="18"/>
      <c r="RU129" s="18"/>
      <c r="RV129" s="18"/>
      <c r="RW129" s="18"/>
      <c r="RX129" s="18"/>
      <c r="RY129" s="18"/>
      <c r="RZ129" s="18"/>
      <c r="SA129" s="18"/>
      <c r="SB129" s="18"/>
      <c r="SC129" s="18"/>
      <c r="SD129" s="18"/>
      <c r="SE129" s="18"/>
      <c r="SF129" s="18"/>
      <c r="SG129" s="18"/>
      <c r="SH129" s="18"/>
      <c r="SI129" s="18"/>
      <c r="SJ129" s="18"/>
      <c r="SK129" s="18"/>
      <c r="SL129" s="18"/>
      <c r="SM129" s="18"/>
      <c r="SN129" s="18"/>
      <c r="SO129" s="18"/>
      <c r="SP129" s="18"/>
      <c r="SQ129" s="18"/>
      <c r="SR129" s="18"/>
      <c r="SS129" s="18"/>
      <c r="ST129" s="18"/>
      <c r="SU129" s="18"/>
      <c r="SV129" s="18"/>
      <c r="SW129" s="18"/>
      <c r="SX129" s="18"/>
      <c r="SY129" s="18"/>
      <c r="SZ129" s="18"/>
      <c r="TA129" s="18"/>
      <c r="TB129" s="18"/>
      <c r="TC129" s="18"/>
      <c r="TD129" s="18"/>
      <c r="TE129" s="18"/>
      <c r="TF129" s="18"/>
      <c r="TG129" s="18"/>
      <c r="TH129" s="18"/>
      <c r="TI129" s="18"/>
      <c r="TJ129" s="18"/>
      <c r="TK129" s="18"/>
      <c r="TL129" s="18"/>
      <c r="TM129" s="18"/>
      <c r="TN129" s="18"/>
      <c r="TO129" s="18"/>
      <c r="TP129" s="18"/>
      <c r="TQ129" s="18"/>
      <c r="TR129" s="18"/>
      <c r="TS129" s="18"/>
      <c r="TT129" s="18"/>
      <c r="TU129" s="18"/>
      <c r="TV129" s="18"/>
      <c r="TW129" s="18"/>
      <c r="TX129" s="18"/>
      <c r="TY129" s="18"/>
      <c r="TZ129" s="18"/>
      <c r="UA129" s="18"/>
      <c r="UB129" s="18"/>
      <c r="UC129" s="18"/>
      <c r="UD129" s="18"/>
      <c r="UE129" s="18"/>
      <c r="UF129" s="18"/>
      <c r="UG129" s="18"/>
      <c r="UH129" s="18"/>
      <c r="UI129" s="18"/>
      <c r="UJ129" s="18"/>
      <c r="UK129" s="18"/>
      <c r="UL129" s="18"/>
      <c r="UM129" s="18"/>
      <c r="UN129" s="18"/>
      <c r="UO129" s="18"/>
      <c r="UP129" s="18"/>
      <c r="UQ129" s="18"/>
      <c r="UR129" s="18"/>
      <c r="US129" s="18"/>
      <c r="UT129" s="18"/>
      <c r="UU129" s="18"/>
      <c r="UV129" s="18"/>
      <c r="UW129" s="18"/>
      <c r="UX129" s="18"/>
      <c r="UY129" s="18"/>
      <c r="UZ129" s="18"/>
      <c r="VA129" s="18"/>
      <c r="VB129" s="18"/>
      <c r="VC129" s="18"/>
      <c r="VD129" s="18"/>
      <c r="VE129" s="18"/>
      <c r="VF129" s="18"/>
      <c r="VG129" s="18"/>
      <c r="VH129" s="18"/>
      <c r="VI129" s="18"/>
      <c r="VJ129" s="18"/>
      <c r="VK129" s="18"/>
      <c r="VL129" s="18"/>
      <c r="VM129" s="18"/>
      <c r="VN129" s="18"/>
      <c r="VO129" s="18"/>
      <c r="VP129" s="18"/>
      <c r="VQ129" s="18"/>
      <c r="VR129" s="18"/>
      <c r="VS129" s="18"/>
      <c r="VT129" s="18"/>
      <c r="VU129" s="18"/>
      <c r="VV129" s="18"/>
      <c r="VW129" s="18"/>
      <c r="VX129" s="18"/>
      <c r="VY129" s="18"/>
      <c r="VZ129" s="18"/>
      <c r="WA129" s="18"/>
      <c r="WB129" s="18"/>
      <c r="WC129" s="18"/>
      <c r="WD129" s="18"/>
      <c r="WE129" s="18"/>
      <c r="WF129" s="18"/>
      <c r="WG129" s="18"/>
      <c r="WH129" s="18"/>
      <c r="WI129" s="18"/>
      <c r="WJ129" s="18"/>
      <c r="WK129" s="18"/>
      <c r="WL129" s="18"/>
      <c r="WM129" s="18"/>
      <c r="WN129" s="18"/>
      <c r="WO129" s="18"/>
      <c r="WP129" s="18"/>
      <c r="WQ129" s="18"/>
      <c r="WR129" s="18"/>
      <c r="WS129" s="18"/>
      <c r="WT129" s="18"/>
      <c r="WU129" s="18"/>
      <c r="WV129" s="18"/>
      <c r="WW129" s="18"/>
      <c r="WX129" s="18"/>
      <c r="WY129" s="18"/>
      <c r="WZ129" s="18"/>
      <c r="XA129" s="18"/>
      <c r="XB129" s="18"/>
      <c r="XC129" s="18"/>
      <c r="XD129" s="18"/>
      <c r="XE129" s="18"/>
      <c r="XF129" s="18"/>
      <c r="XG129" s="18"/>
      <c r="XH129" s="18"/>
      <c r="XI129" s="18"/>
      <c r="XJ129" s="18"/>
      <c r="XK129" s="18"/>
      <c r="XL129" s="18"/>
      <c r="XM129" s="18"/>
      <c r="XN129" s="18"/>
      <c r="XO129" s="18"/>
      <c r="XP129" s="18"/>
      <c r="XQ129" s="18"/>
      <c r="XR129" s="18"/>
      <c r="XS129" s="18"/>
      <c r="XT129" s="18"/>
      <c r="XU129" s="18"/>
      <c r="XV129" s="18"/>
      <c r="XW129" s="18"/>
      <c r="XX129" s="18"/>
      <c r="XY129" s="18"/>
      <c r="XZ129" s="18"/>
      <c r="YA129" s="18"/>
      <c r="YB129" s="18"/>
      <c r="YC129" s="18"/>
      <c r="YD129" s="18"/>
      <c r="YE129" s="18"/>
      <c r="YF129" s="18"/>
      <c r="YG129" s="18"/>
      <c r="YH129" s="18"/>
      <c r="YI129" s="18"/>
      <c r="YJ129" s="18"/>
      <c r="YK129" s="18"/>
      <c r="YL129" s="18"/>
      <c r="YM129" s="18"/>
      <c r="YN129" s="18"/>
      <c r="YO129" s="18"/>
      <c r="YP129" s="18"/>
      <c r="YQ129" s="18"/>
      <c r="YR129" s="18"/>
      <c r="YS129" s="18"/>
      <c r="YT129" s="18"/>
      <c r="YU129" s="18"/>
      <c r="YV129" s="18"/>
      <c r="YW129" s="18"/>
      <c r="YX129" s="18"/>
      <c r="YY129" s="18"/>
      <c r="YZ129" s="18"/>
      <c r="ZA129" s="18"/>
      <c r="ZB129" s="18"/>
      <c r="ZC129" s="18"/>
      <c r="ZD129" s="18"/>
      <c r="ZE129" s="18"/>
      <c r="ZF129" s="18"/>
      <c r="ZG129" s="18"/>
      <c r="ZH129" s="18"/>
      <c r="ZI129" s="18"/>
      <c r="ZJ129" s="18"/>
      <c r="ZK129" s="18"/>
      <c r="ZL129" s="18"/>
      <c r="ZM129" s="18"/>
      <c r="ZN129" s="18"/>
      <c r="ZO129" s="18"/>
      <c r="ZP129" s="18"/>
      <c r="ZQ129" s="18"/>
      <c r="ZR129" s="18"/>
      <c r="ZS129" s="18"/>
      <c r="ZT129" s="18"/>
      <c r="ZU129" s="18"/>
      <c r="ZV129" s="18"/>
      <c r="ZW129" s="18"/>
      <c r="ZX129" s="18"/>
      <c r="ZY129" s="18"/>
      <c r="ZZ129" s="18"/>
      <c r="AAA129" s="18"/>
      <c r="AAB129" s="18"/>
      <c r="AAC129" s="18"/>
      <c r="AAD129" s="18"/>
      <c r="AAE129" s="18"/>
      <c r="AAF129" s="18"/>
      <c r="AAG129" s="18"/>
      <c r="AAH129" s="18"/>
      <c r="AAI129" s="18"/>
      <c r="AAJ129" s="18"/>
      <c r="AAK129" s="18"/>
      <c r="AAL129" s="18"/>
      <c r="AAM129" s="18"/>
      <c r="AAN129" s="18"/>
      <c r="AAO129" s="18"/>
      <c r="AAP129" s="18"/>
      <c r="AAQ129" s="18"/>
      <c r="AAR129" s="18"/>
      <c r="AAS129" s="18"/>
      <c r="AAT129" s="18"/>
      <c r="AAU129" s="18"/>
      <c r="AAV129" s="18"/>
      <c r="AAW129" s="18"/>
      <c r="AAX129" s="18"/>
      <c r="AAY129" s="18"/>
      <c r="AAZ129" s="18"/>
      <c r="ABA129" s="18"/>
      <c r="ABB129" s="18"/>
      <c r="ABC129" s="18"/>
      <c r="ABD129" s="18"/>
      <c r="ABE129" s="18"/>
      <c r="ABF129" s="18"/>
      <c r="ABG129" s="18"/>
      <c r="ABH129" s="18"/>
      <c r="ABI129" s="18"/>
      <c r="ABJ129" s="18"/>
      <c r="ABK129" s="18"/>
      <c r="ABL129" s="18"/>
      <c r="ABM129" s="18"/>
      <c r="ABN129" s="18"/>
      <c r="ABO129" s="18"/>
      <c r="ABP129" s="18"/>
      <c r="ABQ129" s="18"/>
      <c r="ABR129" s="18"/>
      <c r="ABS129" s="18"/>
      <c r="ABT129" s="18"/>
      <c r="ABU129" s="18"/>
      <c r="ABV129" s="18"/>
      <c r="ABW129" s="18"/>
      <c r="ABX129" s="18"/>
      <c r="ABY129" s="18"/>
      <c r="ABZ129" s="18"/>
      <c r="ACA129" s="18"/>
      <c r="ACB129" s="18"/>
      <c r="ACC129" s="18"/>
      <c r="ACD129" s="18"/>
      <c r="ACE129" s="18"/>
      <c r="ACF129" s="18"/>
      <c r="ACG129" s="18"/>
      <c r="ACH129" s="18"/>
      <c r="ACI129" s="18"/>
      <c r="ACJ129" s="18"/>
      <c r="ACK129" s="18"/>
      <c r="ACL129" s="18"/>
      <c r="ACM129" s="18"/>
      <c r="ACN129" s="18"/>
      <c r="ACO129" s="18"/>
      <c r="ACP129" s="18"/>
      <c r="ACQ129" s="18"/>
      <c r="ACR129" s="18"/>
      <c r="ACS129" s="18"/>
      <c r="ACT129" s="18"/>
      <c r="ACU129" s="18"/>
      <c r="ACV129" s="18"/>
      <c r="ACW129" s="18"/>
      <c r="ACX129" s="18"/>
      <c r="ACY129" s="18"/>
      <c r="ACZ129" s="18"/>
      <c r="ADA129" s="18"/>
      <c r="ADB129" s="18"/>
      <c r="ADC129" s="18"/>
      <c r="ADD129" s="18"/>
      <c r="ADE129" s="18"/>
      <c r="ADF129" s="18"/>
      <c r="ADG129" s="18"/>
      <c r="ADH129" s="18"/>
      <c r="ADI129" s="18"/>
      <c r="ADJ129" s="18"/>
      <c r="ADK129" s="18"/>
      <c r="ADL129" s="18"/>
      <c r="ADM129" s="18"/>
      <c r="ADN129" s="18"/>
      <c r="ADO129" s="18"/>
      <c r="ADP129" s="18"/>
      <c r="ADQ129" s="18"/>
      <c r="ADR129" s="18"/>
      <c r="ADS129" s="18"/>
      <c r="ADT129" s="18"/>
      <c r="ADU129" s="18"/>
      <c r="ADV129" s="18"/>
      <c r="ADW129" s="18"/>
      <c r="ADX129" s="18"/>
      <c r="ADY129" s="18"/>
      <c r="ADZ129" s="18"/>
      <c r="AEA129" s="18"/>
      <c r="AEB129" s="18"/>
      <c r="AEC129" s="18"/>
      <c r="AED129" s="18"/>
      <c r="AEE129" s="18"/>
      <c r="AEF129" s="18"/>
      <c r="AEG129" s="18"/>
      <c r="AEH129" s="18"/>
      <c r="AEI129" s="18"/>
      <c r="AEJ129" s="18"/>
      <c r="AEK129" s="18"/>
      <c r="AEL129" s="18"/>
      <c r="AEM129" s="18"/>
      <c r="AEN129" s="18"/>
      <c r="AEO129" s="18"/>
      <c r="AEP129" s="18"/>
      <c r="AEQ129" s="18"/>
      <c r="AER129" s="18"/>
      <c r="AES129" s="18"/>
      <c r="AET129" s="18"/>
      <c r="AEU129" s="18"/>
      <c r="AEV129" s="18"/>
      <c r="AEW129" s="18"/>
      <c r="AEX129" s="18"/>
      <c r="AEY129" s="18"/>
      <c r="AEZ129" s="18"/>
      <c r="AFA129" s="18"/>
      <c r="AFB129" s="18"/>
      <c r="AFC129" s="18"/>
      <c r="AFD129" s="18"/>
      <c r="AFE129" s="18"/>
      <c r="AFF129" s="18"/>
      <c r="AFG129" s="18"/>
      <c r="AFH129" s="18"/>
      <c r="AFI129" s="18"/>
      <c r="AFJ129" s="18"/>
      <c r="AFK129" s="18"/>
      <c r="AFL129" s="18"/>
      <c r="AFM129" s="18"/>
      <c r="AFN129" s="18"/>
      <c r="AFO129" s="18"/>
      <c r="AFP129" s="18"/>
      <c r="AFQ129" s="18"/>
      <c r="AFR129" s="18"/>
      <c r="AFS129" s="18"/>
      <c r="AFT129" s="18"/>
      <c r="AFU129" s="18"/>
      <c r="AFV129" s="18"/>
      <c r="AFW129" s="18"/>
      <c r="AFX129" s="18"/>
      <c r="AFY129" s="18"/>
      <c r="AFZ129" s="18"/>
      <c r="AGA129" s="18"/>
      <c r="AGB129" s="18"/>
      <c r="AGC129" s="18"/>
      <c r="AGD129" s="18"/>
      <c r="AGE129" s="18"/>
      <c r="AGF129" s="18"/>
      <c r="AGG129" s="18"/>
      <c r="AGH129" s="18"/>
      <c r="AGI129" s="18"/>
      <c r="AGJ129" s="18"/>
      <c r="AGK129" s="18"/>
      <c r="AGL129" s="18"/>
      <c r="AGM129" s="18"/>
      <c r="AGN129" s="18"/>
      <c r="AGO129" s="18"/>
      <c r="AGP129" s="18"/>
      <c r="AGQ129" s="18"/>
      <c r="AGR129" s="18"/>
      <c r="AGS129" s="18"/>
      <c r="AGT129" s="18"/>
      <c r="AGU129" s="18"/>
      <c r="AGV129" s="18"/>
      <c r="AGW129" s="18"/>
      <c r="AGX129" s="18"/>
      <c r="AGY129" s="18"/>
      <c r="AGZ129" s="18"/>
      <c r="AHA129" s="18"/>
      <c r="AHB129" s="18"/>
      <c r="AHC129" s="18"/>
      <c r="AHD129" s="18"/>
      <c r="AHE129" s="18"/>
      <c r="AHF129" s="18"/>
      <c r="AHG129" s="18"/>
      <c r="AHH129" s="18"/>
      <c r="AHI129" s="18"/>
      <c r="AHJ129" s="18"/>
      <c r="AHK129" s="18"/>
      <c r="AHL129" s="18"/>
      <c r="AHM129" s="18"/>
      <c r="AHN129" s="18"/>
      <c r="AHO129" s="18"/>
      <c r="AHP129" s="18"/>
      <c r="AHQ129" s="18"/>
      <c r="AHR129" s="18"/>
      <c r="AHS129" s="18"/>
      <c r="AHT129" s="18"/>
      <c r="AHU129" s="18"/>
      <c r="AHV129" s="18"/>
      <c r="AHW129" s="18"/>
      <c r="AHX129" s="18"/>
      <c r="AHY129" s="18"/>
      <c r="AHZ129" s="18"/>
      <c r="AIA129" s="18"/>
      <c r="AIB129" s="18"/>
      <c r="AIC129" s="18"/>
      <c r="AID129" s="18"/>
      <c r="AIE129" s="18"/>
      <c r="AIF129" s="18"/>
      <c r="AIG129" s="18"/>
      <c r="AIH129" s="18"/>
      <c r="AII129" s="18"/>
      <c r="AIJ129" s="18"/>
      <c r="AIK129" s="18"/>
      <c r="AIL129" s="18"/>
      <c r="AIM129" s="18"/>
      <c r="AIN129" s="18"/>
      <c r="AIO129" s="18"/>
      <c r="AIP129" s="18"/>
      <c r="AIQ129" s="18"/>
      <c r="AIR129" s="18"/>
      <c r="AIS129" s="18"/>
      <c r="AIT129" s="18"/>
      <c r="AIU129" s="18"/>
      <c r="AIV129" s="18"/>
      <c r="AIW129" s="18"/>
      <c r="AIX129" s="18"/>
      <c r="AIY129" s="18"/>
      <c r="AIZ129" s="18"/>
      <c r="AJA129" s="18"/>
      <c r="AJB129" s="18"/>
      <c r="AJC129" s="18"/>
      <c r="AJD129" s="18"/>
      <c r="AJE129" s="18"/>
      <c r="AJF129" s="18"/>
      <c r="AJG129" s="18"/>
      <c r="AJH129" s="18"/>
      <c r="AJI129" s="18"/>
      <c r="AJJ129" s="18"/>
      <c r="AJK129" s="18"/>
      <c r="AJL129" s="18"/>
      <c r="AJM129" s="18"/>
      <c r="AJN129" s="18"/>
      <c r="AJO129" s="18"/>
      <c r="AJP129" s="18"/>
      <c r="AJQ129" s="18"/>
      <c r="AJR129" s="18"/>
      <c r="AJS129" s="18"/>
      <c r="AJT129" s="18"/>
      <c r="AJU129" s="18"/>
      <c r="AJV129" s="18"/>
      <c r="AJW129" s="18"/>
      <c r="AJX129" s="18"/>
      <c r="AJY129" s="18"/>
      <c r="AJZ129" s="18"/>
      <c r="AKA129" s="18"/>
      <c r="AKB129" s="18"/>
      <c r="AKC129" s="18"/>
      <c r="AKD129" s="18"/>
      <c r="AKE129" s="18"/>
      <c r="AKF129" s="18"/>
      <c r="AKG129" s="18"/>
      <c r="AKH129" s="18"/>
      <c r="AKI129" s="18"/>
      <c r="AKJ129" s="18"/>
      <c r="AKK129" s="18"/>
      <c r="AKL129" s="18"/>
      <c r="AKM129" s="18"/>
      <c r="AKN129" s="18"/>
      <c r="AKO129" s="18"/>
      <c r="AKP129" s="18"/>
      <c r="AKQ129" s="18"/>
      <c r="AKR129" s="18"/>
      <c r="AKS129" s="18"/>
      <c r="AKT129" s="18"/>
      <c r="AKU129" s="18"/>
      <c r="AKV129" s="18"/>
      <c r="AKW129" s="18"/>
      <c r="AKX129" s="18"/>
      <c r="AKY129" s="18"/>
      <c r="AKZ129" s="18"/>
      <c r="ALA129" s="18"/>
      <c r="ALB129" s="18"/>
      <c r="ALC129" s="18"/>
      <c r="ALD129" s="18"/>
      <c r="ALE129" s="18"/>
      <c r="ALF129" s="18"/>
      <c r="ALG129" s="18"/>
      <c r="ALH129" s="18"/>
      <c r="ALI129" s="18"/>
      <c r="ALJ129" s="18"/>
      <c r="ALK129" s="18"/>
      <c r="ALL129" s="18"/>
      <c r="ALM129" s="18"/>
      <c r="ALN129" s="18"/>
      <c r="ALO129" s="18"/>
      <c r="ALP129" s="18"/>
      <c r="ALQ129" s="18"/>
      <c r="ALR129" s="18"/>
      <c r="ALS129" s="18"/>
      <c r="ALT129" s="18"/>
      <c r="ALU129" s="18"/>
      <c r="ALV129" s="18"/>
      <c r="ALW129" s="18"/>
      <c r="ALX129" s="18"/>
      <c r="ALY129" s="18"/>
      <c r="ALZ129" s="18"/>
      <c r="AMA129" s="18"/>
      <c r="AMB129" s="18"/>
      <c r="AMC129" s="18"/>
      <c r="AMD129" s="18"/>
      <c r="AME129" s="18"/>
      <c r="AMF129" s="18"/>
      <c r="AMG129" s="18"/>
      <c r="AMH129" s="18"/>
      <c r="AMI129" s="18"/>
      <c r="AMJ129" s="18"/>
      <c r="AMK129" s="18"/>
      <c r="AML129" s="18"/>
      <c r="AMM129" s="18"/>
      <c r="AMN129" s="18"/>
      <c r="AMO129" s="18"/>
      <c r="AMP129" s="18"/>
      <c r="AMQ129" s="18"/>
      <c r="AMR129" s="18"/>
      <c r="AMS129" s="18"/>
      <c r="AMT129" s="18"/>
      <c r="AMU129" s="18"/>
      <c r="AMV129" s="18"/>
      <c r="AMW129" s="18"/>
      <c r="AMX129" s="18"/>
      <c r="AMY129" s="18"/>
      <c r="AMZ129" s="18"/>
      <c r="ANA129" s="18"/>
      <c r="ANB129" s="18"/>
      <c r="ANC129" s="18"/>
      <c r="AND129" s="18"/>
      <c r="ANE129" s="18"/>
      <c r="ANF129" s="18"/>
      <c r="ANG129" s="18"/>
      <c r="ANH129" s="18"/>
      <c r="ANI129" s="18"/>
      <c r="ANJ129" s="18"/>
      <c r="ANK129" s="18"/>
      <c r="ANL129" s="18"/>
      <c r="ANM129" s="18"/>
      <c r="ANN129" s="18"/>
      <c r="ANO129" s="18"/>
      <c r="ANP129" s="18"/>
      <c r="ANQ129" s="18"/>
      <c r="ANR129" s="18"/>
      <c r="ANS129" s="18"/>
      <c r="ANT129" s="18"/>
      <c r="ANU129" s="18"/>
      <c r="ANV129" s="18"/>
      <c r="ANW129" s="18"/>
      <c r="ANX129" s="18"/>
      <c r="ANY129" s="18"/>
      <c r="ANZ129" s="18"/>
      <c r="AOA129" s="18"/>
      <c r="AOB129" s="18"/>
      <c r="AOC129" s="18"/>
      <c r="AOD129" s="18"/>
      <c r="AOE129" s="18"/>
      <c r="AOF129" s="18"/>
      <c r="AOG129" s="18"/>
      <c r="AOH129" s="18"/>
      <c r="AOI129" s="18"/>
      <c r="AOJ129" s="18"/>
      <c r="AOK129" s="18"/>
      <c r="AOL129" s="18"/>
      <c r="AOM129" s="18"/>
      <c r="AON129" s="18"/>
      <c r="AOO129" s="18"/>
      <c r="AOP129" s="18"/>
      <c r="AOQ129" s="18"/>
      <c r="AOR129" s="18"/>
      <c r="AOS129" s="18"/>
      <c r="AOT129" s="18"/>
      <c r="AOU129" s="18"/>
      <c r="AOV129" s="18"/>
      <c r="AOW129" s="18"/>
      <c r="AOX129" s="18"/>
      <c r="AOY129" s="18"/>
      <c r="AOZ129" s="18"/>
      <c r="APA129" s="18"/>
      <c r="APB129" s="18"/>
      <c r="APC129" s="18"/>
      <c r="APD129" s="18"/>
      <c r="APE129" s="18"/>
      <c r="APF129" s="18"/>
      <c r="APG129" s="18"/>
      <c r="APH129" s="18"/>
      <c r="API129" s="18"/>
      <c r="APJ129" s="18"/>
      <c r="APK129" s="18"/>
      <c r="APL129" s="18"/>
      <c r="APM129" s="18"/>
      <c r="APN129" s="18"/>
      <c r="APO129" s="18"/>
      <c r="APP129" s="18"/>
      <c r="APQ129" s="18"/>
      <c r="APR129" s="18"/>
      <c r="APS129" s="18"/>
      <c r="APT129" s="18"/>
      <c r="APU129" s="18"/>
      <c r="APV129" s="18"/>
      <c r="APW129" s="18"/>
      <c r="APX129" s="18"/>
      <c r="APY129" s="18"/>
      <c r="APZ129" s="18"/>
      <c r="AQA129" s="18"/>
      <c r="AQB129" s="18"/>
      <c r="AQC129" s="18"/>
      <c r="AQD129" s="18"/>
      <c r="AQE129" s="18"/>
      <c r="AQF129" s="18"/>
      <c r="AQG129" s="18"/>
      <c r="AQH129" s="18"/>
      <c r="AQI129" s="18"/>
      <c r="AQJ129" s="18"/>
      <c r="AQK129" s="18"/>
      <c r="AQL129" s="18"/>
      <c r="AQM129" s="18"/>
      <c r="AQN129" s="18"/>
      <c r="AQO129" s="18"/>
      <c r="AQP129" s="18"/>
      <c r="AQQ129" s="18"/>
      <c r="AQR129" s="18"/>
      <c r="AQS129" s="18"/>
      <c r="AQT129" s="18"/>
      <c r="AQU129" s="18"/>
      <c r="AQV129" s="18"/>
      <c r="AQW129" s="18"/>
      <c r="AQX129" s="18"/>
      <c r="AQY129" s="18"/>
      <c r="AQZ129" s="18"/>
      <c r="ARA129" s="18"/>
      <c r="ARB129" s="18"/>
      <c r="ARC129" s="18"/>
      <c r="ARD129" s="18"/>
      <c r="ARE129" s="18"/>
      <c r="ARF129" s="18"/>
      <c r="ARG129" s="18"/>
      <c r="ARH129" s="18"/>
      <c r="ARI129" s="18"/>
      <c r="ARJ129" s="18"/>
      <c r="ARK129" s="18"/>
      <c r="ARL129" s="18"/>
      <c r="ARM129" s="18"/>
      <c r="ARN129" s="18"/>
      <c r="ARO129" s="18"/>
      <c r="ARP129" s="18"/>
      <c r="ARQ129" s="18"/>
      <c r="ARR129" s="18"/>
      <c r="ARS129" s="18"/>
      <c r="ART129" s="18"/>
      <c r="ARU129" s="18"/>
      <c r="ARV129" s="18"/>
      <c r="ARW129" s="18"/>
      <c r="ARX129" s="18"/>
      <c r="ARY129" s="18"/>
      <c r="ARZ129" s="18"/>
      <c r="ASA129" s="18"/>
      <c r="ASB129" s="18"/>
      <c r="ASC129" s="18"/>
      <c r="ASD129" s="18"/>
      <c r="ASE129" s="18"/>
      <c r="ASF129" s="18"/>
      <c r="ASG129" s="18"/>
      <c r="ASH129" s="18"/>
      <c r="ASI129" s="18"/>
      <c r="ASJ129" s="18"/>
      <c r="ASK129" s="18"/>
      <c r="ASL129" s="18"/>
      <c r="ASM129" s="18"/>
      <c r="ASN129" s="18"/>
      <c r="ASO129" s="18"/>
      <c r="ASP129" s="18"/>
      <c r="ASQ129" s="18"/>
      <c r="ASR129" s="18"/>
      <c r="ASS129" s="18"/>
      <c r="AST129" s="18"/>
      <c r="ASU129" s="18"/>
      <c r="ASV129" s="18"/>
      <c r="ASW129" s="18"/>
      <c r="ASX129" s="18"/>
      <c r="ASY129" s="18"/>
      <c r="ASZ129" s="18"/>
      <c r="ATA129" s="18"/>
      <c r="ATB129" s="18"/>
      <c r="ATC129" s="18"/>
      <c r="ATD129" s="18"/>
      <c r="ATE129" s="18"/>
      <c r="ATF129" s="18"/>
      <c r="ATG129" s="18"/>
      <c r="ATH129" s="18"/>
      <c r="ATI129" s="18"/>
      <c r="ATJ129" s="18"/>
      <c r="ATK129" s="18"/>
      <c r="ATL129" s="18"/>
      <c r="ATM129" s="18"/>
      <c r="ATN129" s="18"/>
      <c r="ATO129" s="18"/>
      <c r="ATP129" s="18"/>
      <c r="ATQ129" s="18"/>
      <c r="ATR129" s="18"/>
      <c r="ATS129" s="18"/>
      <c r="ATT129" s="18"/>
      <c r="ATU129" s="18"/>
      <c r="ATV129" s="18"/>
      <c r="ATW129" s="18"/>
      <c r="ATX129" s="18"/>
      <c r="ATY129" s="18"/>
      <c r="ATZ129" s="18"/>
      <c r="AUA129" s="18"/>
      <c r="AUB129" s="18"/>
      <c r="AUC129" s="18"/>
      <c r="AUD129" s="18"/>
      <c r="AUE129" s="18"/>
      <c r="AUF129" s="18"/>
      <c r="AUG129" s="18"/>
      <c r="AUH129" s="18"/>
      <c r="AUI129" s="18"/>
      <c r="AUJ129" s="18"/>
      <c r="AUK129" s="18"/>
      <c r="AUL129" s="18"/>
      <c r="AUM129" s="18"/>
      <c r="AUN129" s="18"/>
      <c r="AUO129" s="18"/>
      <c r="AUP129" s="18"/>
      <c r="AUQ129" s="18"/>
      <c r="AUR129" s="18"/>
      <c r="AUS129" s="18"/>
      <c r="AUT129" s="18"/>
      <c r="AUU129" s="18"/>
      <c r="AUV129" s="18"/>
      <c r="AUW129" s="18"/>
      <c r="AUX129" s="18"/>
      <c r="AUY129" s="18"/>
      <c r="AUZ129" s="18"/>
      <c r="AVA129" s="18"/>
      <c r="AVB129" s="18"/>
      <c r="AVC129" s="18"/>
      <c r="AVD129" s="18"/>
      <c r="AVE129" s="18"/>
      <c r="AVF129" s="18"/>
      <c r="AVG129" s="18"/>
      <c r="AVH129" s="18"/>
      <c r="AVI129" s="18"/>
      <c r="AVJ129" s="18"/>
      <c r="AVK129" s="18"/>
      <c r="AVL129" s="18"/>
      <c r="AVM129" s="18"/>
      <c r="AVN129" s="18"/>
      <c r="AVO129" s="18"/>
      <c r="AVP129" s="18"/>
      <c r="AVQ129" s="18"/>
      <c r="AVR129" s="18"/>
      <c r="AVS129" s="18"/>
      <c r="AVT129" s="18"/>
      <c r="AVU129" s="18"/>
      <c r="AVV129" s="18"/>
      <c r="AVW129" s="18"/>
      <c r="AVX129" s="18"/>
      <c r="AVY129" s="18"/>
      <c r="AVZ129" s="18"/>
      <c r="AWA129" s="18"/>
      <c r="AWB129" s="18"/>
      <c r="AWC129" s="18"/>
      <c r="AWD129" s="18"/>
      <c r="AWE129" s="18"/>
      <c r="AWF129" s="18"/>
      <c r="AWG129" s="18"/>
      <c r="AWH129" s="18"/>
      <c r="AWI129" s="18"/>
      <c r="AWJ129" s="18"/>
      <c r="AWK129" s="18"/>
      <c r="AWL129" s="18"/>
      <c r="AWM129" s="18"/>
      <c r="AWN129" s="18"/>
      <c r="AWO129" s="18"/>
      <c r="AWP129" s="18"/>
      <c r="AWQ129" s="18"/>
      <c r="AWR129" s="18"/>
      <c r="AWS129" s="18"/>
      <c r="AWT129" s="18"/>
      <c r="AWU129" s="18"/>
      <c r="AWV129" s="18"/>
      <c r="AWW129" s="18"/>
      <c r="AWX129" s="18"/>
      <c r="AWY129" s="18"/>
      <c r="AWZ129" s="18"/>
      <c r="AXA129" s="18"/>
      <c r="AXB129" s="18"/>
      <c r="AXC129" s="18"/>
      <c r="AXD129" s="18"/>
      <c r="AXE129" s="18"/>
      <c r="AXF129" s="18"/>
      <c r="AXG129" s="18"/>
      <c r="AXH129" s="18"/>
      <c r="AXI129" s="18"/>
      <c r="AXJ129" s="18"/>
      <c r="AXK129" s="18"/>
      <c r="AXL129" s="18"/>
      <c r="AXM129" s="18"/>
      <c r="AXN129" s="18"/>
      <c r="AXO129" s="18"/>
      <c r="AXP129" s="18"/>
      <c r="AXQ129" s="18"/>
      <c r="AXR129" s="18"/>
      <c r="AXS129" s="18"/>
      <c r="AXT129" s="18"/>
      <c r="AXU129" s="18"/>
      <c r="AXV129" s="18"/>
      <c r="AXW129" s="18"/>
      <c r="AXX129" s="18"/>
      <c r="AXY129" s="18"/>
      <c r="AXZ129" s="18"/>
      <c r="AYA129" s="18"/>
      <c r="AYB129" s="18"/>
      <c r="AYC129" s="18"/>
      <c r="AYD129" s="18"/>
      <c r="AYE129" s="18"/>
      <c r="AYF129" s="18"/>
      <c r="AYG129" s="18"/>
      <c r="AYH129" s="18"/>
      <c r="AYI129" s="18"/>
      <c r="AYJ129" s="18"/>
      <c r="AYK129" s="18"/>
      <c r="AYL129" s="18"/>
      <c r="AYM129" s="18"/>
      <c r="AYN129" s="18"/>
      <c r="AYO129" s="18"/>
      <c r="AYP129" s="18"/>
      <c r="AYQ129" s="18"/>
      <c r="AYR129" s="18"/>
      <c r="AYS129" s="18"/>
      <c r="AYT129" s="18"/>
      <c r="AYU129" s="18"/>
      <c r="AYV129" s="18"/>
      <c r="AYW129" s="18"/>
      <c r="AYX129" s="18"/>
      <c r="AYY129" s="18"/>
      <c r="AYZ129" s="18"/>
      <c r="AZA129" s="18"/>
      <c r="AZB129" s="18"/>
      <c r="AZC129" s="18"/>
      <c r="AZD129" s="18"/>
      <c r="AZE129" s="18"/>
      <c r="AZF129" s="18"/>
      <c r="AZG129" s="18"/>
      <c r="AZH129" s="18"/>
      <c r="AZI129" s="18"/>
      <c r="AZJ129" s="18"/>
      <c r="AZK129" s="18"/>
      <c r="AZL129" s="18"/>
      <c r="AZM129" s="18"/>
      <c r="AZN129" s="18"/>
      <c r="AZO129" s="18"/>
      <c r="AZP129" s="18"/>
      <c r="AZQ129" s="18"/>
      <c r="AZR129" s="18"/>
      <c r="AZS129" s="18"/>
      <c r="AZT129" s="18"/>
      <c r="AZU129" s="18"/>
      <c r="AZV129" s="18"/>
      <c r="AZW129" s="18"/>
      <c r="AZX129" s="18"/>
      <c r="AZY129" s="18"/>
      <c r="AZZ129" s="18"/>
      <c r="BAA129" s="18"/>
      <c r="BAB129" s="18"/>
      <c r="BAC129" s="18"/>
      <c r="BAD129" s="18"/>
      <c r="BAE129" s="18"/>
      <c r="BAF129" s="18"/>
      <c r="BAG129" s="18"/>
      <c r="BAH129" s="18"/>
      <c r="BAI129" s="18"/>
      <c r="BAJ129" s="18"/>
      <c r="BAK129" s="18"/>
      <c r="BAL129" s="18"/>
      <c r="BAM129" s="18"/>
      <c r="BAN129" s="18"/>
      <c r="BAO129" s="18"/>
      <c r="BAP129" s="18"/>
      <c r="BAQ129" s="18"/>
      <c r="BAR129" s="18"/>
      <c r="BAS129" s="18"/>
      <c r="BAT129" s="18"/>
      <c r="BAU129" s="18"/>
      <c r="BAV129" s="18"/>
      <c r="BAW129" s="18"/>
      <c r="BAX129" s="18"/>
      <c r="BAY129" s="18"/>
      <c r="BAZ129" s="18"/>
      <c r="BBA129" s="18"/>
      <c r="BBB129" s="18"/>
      <c r="BBC129" s="18"/>
      <c r="BBD129" s="18"/>
      <c r="BBE129" s="18"/>
      <c r="BBF129" s="18"/>
      <c r="BBG129" s="18"/>
      <c r="BBH129" s="18"/>
      <c r="BBI129" s="18"/>
      <c r="BBJ129" s="18"/>
      <c r="BBK129" s="18"/>
      <c r="BBL129" s="18"/>
      <c r="BBM129" s="18"/>
      <c r="BBN129" s="18"/>
      <c r="BBO129" s="18"/>
      <c r="BBP129" s="18"/>
      <c r="BBQ129" s="18"/>
      <c r="BBR129" s="18"/>
      <c r="BBS129" s="18"/>
      <c r="BBT129" s="18"/>
      <c r="BBU129" s="18"/>
      <c r="BBV129" s="18"/>
      <c r="BBW129" s="18"/>
      <c r="BBX129" s="18"/>
      <c r="BBY129" s="18"/>
      <c r="BBZ129" s="18"/>
      <c r="BCA129" s="18"/>
      <c r="BCB129" s="18"/>
      <c r="BCC129" s="18"/>
      <c r="BCD129" s="18"/>
      <c r="BCE129" s="18"/>
      <c r="BCF129" s="18"/>
      <c r="BCG129" s="18"/>
      <c r="BCH129" s="18"/>
      <c r="BCI129" s="18"/>
      <c r="BCJ129" s="18"/>
      <c r="BCK129" s="18"/>
      <c r="BCL129" s="18"/>
      <c r="BCM129" s="18"/>
      <c r="BCN129" s="18"/>
      <c r="BCO129" s="18"/>
      <c r="BCP129" s="18"/>
      <c r="BCQ129" s="18"/>
      <c r="BCR129" s="18"/>
      <c r="BCS129" s="18"/>
      <c r="BCT129" s="18"/>
      <c r="BCU129" s="18"/>
      <c r="BCV129" s="18"/>
      <c r="BCW129" s="18"/>
      <c r="BCX129" s="18"/>
      <c r="BCY129" s="18"/>
      <c r="BCZ129" s="18"/>
      <c r="BDA129" s="18"/>
      <c r="BDB129" s="18"/>
      <c r="BDC129" s="18"/>
      <c r="BDD129" s="18"/>
      <c r="BDE129" s="18"/>
      <c r="BDF129" s="18"/>
      <c r="BDG129" s="18"/>
      <c r="BDH129" s="18"/>
      <c r="BDI129" s="18"/>
      <c r="BDJ129" s="18"/>
      <c r="BDK129" s="18"/>
      <c r="BDL129" s="18"/>
      <c r="BDM129" s="18"/>
      <c r="BDN129" s="18"/>
      <c r="BDO129" s="18"/>
      <c r="BDP129" s="18"/>
      <c r="BDQ129" s="18"/>
      <c r="BDR129" s="18"/>
      <c r="BDS129" s="18"/>
      <c r="BDT129" s="18"/>
      <c r="BDU129" s="18"/>
      <c r="BDV129" s="18"/>
      <c r="BDW129" s="18"/>
      <c r="BDX129" s="18"/>
      <c r="BDY129" s="18"/>
      <c r="BDZ129" s="18"/>
      <c r="BEA129" s="18"/>
      <c r="BEB129" s="18"/>
      <c r="BEC129" s="18"/>
      <c r="BED129" s="18"/>
      <c r="BEE129" s="18"/>
      <c r="BEF129" s="18"/>
      <c r="BEG129" s="18"/>
      <c r="BEH129" s="18"/>
      <c r="BEI129" s="18"/>
      <c r="BEJ129" s="18"/>
      <c r="BEK129" s="18"/>
      <c r="BEL129" s="18"/>
      <c r="BEM129" s="18"/>
      <c r="BEN129" s="18"/>
      <c r="BEO129" s="18"/>
      <c r="BEP129" s="18"/>
      <c r="BEQ129" s="18"/>
      <c r="BER129" s="18"/>
      <c r="BES129" s="18"/>
      <c r="BET129" s="18"/>
      <c r="BEU129" s="18"/>
      <c r="BEV129" s="18"/>
      <c r="BEW129" s="18"/>
      <c r="BEX129" s="18"/>
      <c r="BEY129" s="18"/>
      <c r="BEZ129" s="18"/>
      <c r="BFA129" s="18"/>
      <c r="BFB129" s="18"/>
      <c r="BFC129" s="18"/>
      <c r="BFD129" s="18"/>
      <c r="BFE129" s="18"/>
      <c r="BFF129" s="18"/>
      <c r="BFG129" s="18"/>
      <c r="BFH129" s="18"/>
      <c r="BFI129" s="18"/>
      <c r="BFJ129" s="18"/>
      <c r="BFK129" s="18"/>
      <c r="BFL129" s="18"/>
      <c r="BFM129" s="18"/>
      <c r="BFN129" s="18"/>
      <c r="BFO129" s="18"/>
      <c r="BFP129" s="18"/>
      <c r="BFQ129" s="18"/>
      <c r="BFR129" s="18"/>
      <c r="BFS129" s="18"/>
      <c r="BFT129" s="18"/>
      <c r="BFU129" s="18"/>
      <c r="BFV129" s="18"/>
      <c r="BFW129" s="18"/>
      <c r="BFX129" s="18"/>
      <c r="BFY129" s="18"/>
      <c r="BFZ129" s="18"/>
      <c r="BGA129" s="18"/>
      <c r="BGB129" s="18"/>
      <c r="BGC129" s="18"/>
      <c r="BGD129" s="18"/>
      <c r="BGE129" s="18"/>
      <c r="BGF129" s="18"/>
      <c r="BGG129" s="18"/>
      <c r="BGH129" s="18"/>
      <c r="BGI129" s="18"/>
      <c r="BGJ129" s="18"/>
      <c r="BGK129" s="18"/>
      <c r="BGL129" s="18"/>
      <c r="BGM129" s="18"/>
      <c r="BGN129" s="18"/>
      <c r="BGO129" s="18"/>
      <c r="BGP129" s="18"/>
      <c r="BGQ129" s="18"/>
      <c r="BGR129" s="18"/>
      <c r="BGS129" s="18"/>
      <c r="BGT129" s="18"/>
      <c r="BGU129" s="18"/>
      <c r="BGV129" s="18"/>
      <c r="BGW129" s="18"/>
      <c r="BGX129" s="18"/>
      <c r="BGY129" s="18"/>
      <c r="BGZ129" s="18"/>
      <c r="BHA129" s="18"/>
      <c r="BHB129" s="18"/>
      <c r="BHC129" s="18"/>
      <c r="BHD129" s="18"/>
      <c r="BHE129" s="18"/>
      <c r="BHF129" s="18"/>
      <c r="BHG129" s="18"/>
      <c r="BHH129" s="18"/>
      <c r="BHI129" s="18"/>
      <c r="BHJ129" s="18"/>
      <c r="BHK129" s="18"/>
      <c r="BHL129" s="18"/>
      <c r="BHM129" s="18"/>
      <c r="BHN129" s="18"/>
      <c r="BHO129" s="18"/>
      <c r="BHP129" s="18"/>
      <c r="BHQ129" s="18"/>
      <c r="BHR129" s="18"/>
      <c r="BHS129" s="18"/>
      <c r="BHT129" s="18"/>
      <c r="BHU129" s="18"/>
      <c r="BHV129" s="18"/>
      <c r="BHW129" s="18"/>
      <c r="BHX129" s="18"/>
      <c r="BHY129" s="18"/>
      <c r="BHZ129" s="18"/>
      <c r="BIA129" s="18"/>
      <c r="BIB129" s="18"/>
      <c r="BIC129" s="18"/>
      <c r="BID129" s="18"/>
      <c r="BIE129" s="18"/>
      <c r="BIF129" s="18"/>
      <c r="BIG129" s="18"/>
      <c r="BIH129" s="18"/>
      <c r="BII129" s="18"/>
      <c r="BIJ129" s="18"/>
      <c r="BIK129" s="18"/>
      <c r="BIL129" s="18"/>
      <c r="BIM129" s="18"/>
      <c r="BIN129" s="18"/>
      <c r="BIO129" s="18"/>
      <c r="BIP129" s="18"/>
      <c r="BIQ129" s="18"/>
      <c r="BIR129" s="18"/>
      <c r="BIS129" s="18"/>
      <c r="BIT129" s="18"/>
      <c r="BIU129" s="18"/>
      <c r="BIV129" s="18"/>
      <c r="BIW129" s="18"/>
      <c r="BIX129" s="18"/>
      <c r="BIY129" s="18"/>
      <c r="BIZ129" s="18"/>
      <c r="BJA129" s="18"/>
      <c r="BJB129" s="18"/>
      <c r="BJC129" s="18"/>
      <c r="BJD129" s="18"/>
      <c r="BJE129" s="18"/>
      <c r="BJF129" s="18"/>
      <c r="BJG129" s="18"/>
      <c r="BJH129" s="18"/>
      <c r="BJI129" s="18"/>
      <c r="BJJ129" s="18"/>
      <c r="BJK129" s="18"/>
      <c r="BJL129" s="18"/>
      <c r="BJM129" s="18"/>
      <c r="BJN129" s="18"/>
      <c r="BJO129" s="18"/>
      <c r="BJP129" s="18"/>
      <c r="BJQ129" s="18"/>
      <c r="BJR129" s="18"/>
      <c r="BJS129" s="18"/>
      <c r="BJT129" s="18"/>
      <c r="BJU129" s="18"/>
      <c r="BJV129" s="18"/>
      <c r="BJW129" s="18"/>
      <c r="BJX129" s="18"/>
      <c r="BJY129" s="18"/>
      <c r="BJZ129" s="18"/>
      <c r="BKA129" s="18"/>
      <c r="BKB129" s="18"/>
      <c r="BKC129" s="18"/>
      <c r="BKD129" s="18"/>
      <c r="BKE129" s="18"/>
      <c r="BKF129" s="18"/>
      <c r="BKG129" s="18"/>
      <c r="BKH129" s="18"/>
      <c r="BKI129" s="18"/>
      <c r="BKJ129" s="18"/>
      <c r="BKK129" s="18"/>
      <c r="BKL129" s="18"/>
      <c r="BKM129" s="18"/>
      <c r="BKN129" s="18"/>
      <c r="BKO129" s="18"/>
      <c r="BKP129" s="18"/>
      <c r="BKQ129" s="18"/>
      <c r="BKR129" s="18"/>
      <c r="BKS129" s="18"/>
      <c r="BKT129" s="18"/>
      <c r="BKU129" s="18"/>
      <c r="BKV129" s="18"/>
      <c r="BKW129" s="18"/>
      <c r="BKX129" s="18"/>
      <c r="BKY129" s="18"/>
      <c r="BKZ129" s="18"/>
      <c r="BLA129" s="18"/>
      <c r="BLB129" s="18"/>
      <c r="BLC129" s="18"/>
      <c r="BLD129" s="18"/>
      <c r="BLE129" s="18"/>
      <c r="BLF129" s="18"/>
      <c r="BLG129" s="18"/>
      <c r="BLH129" s="18"/>
      <c r="BLI129" s="18"/>
      <c r="BLJ129" s="18"/>
      <c r="BLK129" s="18"/>
      <c r="BLL129" s="18"/>
      <c r="BLM129" s="18"/>
      <c r="BLN129" s="18"/>
      <c r="BLO129" s="18"/>
      <c r="BLP129" s="18"/>
      <c r="BLQ129" s="18"/>
      <c r="BLR129" s="18"/>
      <c r="BLS129" s="18"/>
      <c r="BLT129" s="18"/>
      <c r="BLU129" s="18"/>
      <c r="BLV129" s="18"/>
      <c r="BLW129" s="18"/>
      <c r="BLX129" s="18"/>
      <c r="BLY129" s="18"/>
      <c r="BLZ129" s="18"/>
      <c r="BMA129" s="18"/>
      <c r="BMB129" s="18"/>
      <c r="BMC129" s="18"/>
      <c r="BMD129" s="18"/>
      <c r="BME129" s="18"/>
      <c r="BMF129" s="18"/>
      <c r="BMG129" s="18"/>
      <c r="BMH129" s="18"/>
      <c r="BMI129" s="18"/>
      <c r="BMJ129" s="18"/>
      <c r="BMK129" s="18"/>
      <c r="BML129" s="18"/>
      <c r="BMM129" s="18"/>
      <c r="BMN129" s="18"/>
      <c r="BMO129" s="18"/>
      <c r="BMP129" s="18"/>
      <c r="BMQ129" s="18"/>
      <c r="BMR129" s="18"/>
      <c r="BMS129" s="18"/>
      <c r="BMT129" s="18"/>
      <c r="BMU129" s="18"/>
      <c r="BMV129" s="18"/>
      <c r="BMW129" s="18"/>
      <c r="BMX129" s="18"/>
      <c r="BMY129" s="18"/>
      <c r="BMZ129" s="18"/>
      <c r="BNA129" s="18"/>
      <c r="BNB129" s="18"/>
      <c r="BNC129" s="18"/>
      <c r="BND129" s="18"/>
      <c r="BNE129" s="18"/>
      <c r="BNF129" s="18"/>
      <c r="BNG129" s="18"/>
      <c r="BNH129" s="18"/>
      <c r="BNI129" s="18"/>
      <c r="BNJ129" s="18"/>
      <c r="BNK129" s="18"/>
      <c r="BNL129" s="18"/>
      <c r="BNM129" s="18"/>
      <c r="BNN129" s="18"/>
      <c r="BNO129" s="18"/>
      <c r="BNP129" s="18"/>
      <c r="BNQ129" s="18"/>
      <c r="BNR129" s="18"/>
      <c r="BNS129" s="18"/>
      <c r="BNT129" s="18"/>
      <c r="BNU129" s="18"/>
      <c r="BNV129" s="18"/>
      <c r="BNW129" s="18"/>
      <c r="BNX129" s="18"/>
      <c r="BNY129" s="18"/>
      <c r="BNZ129" s="18"/>
      <c r="BOA129" s="18"/>
      <c r="BOB129" s="18"/>
      <c r="BOC129" s="18"/>
      <c r="BOD129" s="18"/>
      <c r="BOE129" s="18"/>
      <c r="BOF129" s="18"/>
      <c r="BOG129" s="18"/>
      <c r="BOH129" s="18"/>
      <c r="BOI129" s="18"/>
      <c r="BOJ129" s="18"/>
      <c r="BOK129" s="18"/>
      <c r="BOL129" s="18"/>
      <c r="BOM129" s="18"/>
      <c r="BON129" s="18"/>
      <c r="BOO129" s="18"/>
      <c r="BOP129" s="18"/>
      <c r="BOQ129" s="18"/>
      <c r="BOR129" s="18"/>
      <c r="BOS129" s="18"/>
      <c r="BOT129" s="18"/>
      <c r="BOU129" s="18"/>
      <c r="BOV129" s="18"/>
      <c r="BOW129" s="18"/>
      <c r="BOX129" s="18"/>
      <c r="BOY129" s="18"/>
      <c r="BOZ129" s="18"/>
      <c r="BPA129" s="18"/>
      <c r="BPB129" s="18"/>
      <c r="BPC129" s="18"/>
      <c r="BPD129" s="18"/>
      <c r="BPE129" s="18"/>
      <c r="BPF129" s="18"/>
      <c r="BPG129" s="18"/>
      <c r="BPH129" s="18"/>
      <c r="BPI129" s="18"/>
      <c r="BPJ129" s="18"/>
      <c r="BPK129" s="18"/>
      <c r="BPL129" s="18"/>
      <c r="BPM129" s="18"/>
      <c r="BPN129" s="18"/>
      <c r="BPO129" s="18"/>
      <c r="BPP129" s="18"/>
      <c r="BPQ129" s="18"/>
      <c r="BPR129" s="18"/>
      <c r="BPS129" s="18"/>
      <c r="BPT129" s="18"/>
      <c r="BPU129" s="18"/>
      <c r="BPV129" s="18"/>
      <c r="BPW129" s="18"/>
      <c r="BPX129" s="18"/>
      <c r="BPY129" s="18"/>
      <c r="BPZ129" s="18"/>
      <c r="BQA129" s="18"/>
      <c r="BQB129" s="18"/>
      <c r="BQC129" s="18"/>
      <c r="BQD129" s="18"/>
      <c r="BQE129" s="18"/>
      <c r="BQF129" s="18"/>
      <c r="BQG129" s="18"/>
      <c r="BQH129" s="18"/>
      <c r="BQI129" s="18"/>
      <c r="BQJ129" s="18"/>
      <c r="BQK129" s="18"/>
      <c r="BQL129" s="18"/>
      <c r="BQM129" s="18"/>
      <c r="BQN129" s="18"/>
      <c r="BQO129" s="18"/>
      <c r="BQP129" s="18"/>
      <c r="BQQ129" s="18"/>
      <c r="BQR129" s="18"/>
      <c r="BQS129" s="18"/>
      <c r="BQT129" s="18"/>
      <c r="BQU129" s="18"/>
      <c r="BQV129" s="18"/>
      <c r="BQW129" s="18"/>
      <c r="BQX129" s="18"/>
      <c r="BQY129" s="18"/>
      <c r="BQZ129" s="18"/>
      <c r="BRA129" s="18"/>
      <c r="BRB129" s="18"/>
      <c r="BRC129" s="18"/>
      <c r="BRD129" s="18"/>
      <c r="BRE129" s="18"/>
      <c r="BRF129" s="18"/>
      <c r="BRG129" s="18"/>
      <c r="BRH129" s="18"/>
      <c r="BRI129" s="18"/>
      <c r="BRJ129" s="18"/>
      <c r="BRK129" s="18"/>
      <c r="BRL129" s="18"/>
      <c r="BRM129" s="18"/>
      <c r="BRN129" s="18"/>
      <c r="BRO129" s="18"/>
      <c r="BRP129" s="18"/>
      <c r="BRQ129" s="18"/>
      <c r="BRR129" s="18"/>
      <c r="BRS129" s="18"/>
      <c r="BRT129" s="18"/>
      <c r="BRU129" s="18"/>
      <c r="BRV129" s="18"/>
      <c r="BRW129" s="18"/>
      <c r="BRX129" s="18"/>
      <c r="BRY129" s="18"/>
      <c r="BRZ129" s="18"/>
      <c r="BSA129" s="18"/>
      <c r="BSB129" s="18"/>
      <c r="BSC129" s="18"/>
      <c r="BSD129" s="18"/>
      <c r="BSE129" s="18"/>
      <c r="BSF129" s="18"/>
      <c r="BSG129" s="18"/>
      <c r="BSH129" s="18"/>
      <c r="BSI129" s="18"/>
      <c r="BSJ129" s="18"/>
      <c r="BSK129" s="18"/>
      <c r="BSL129" s="18"/>
      <c r="BSM129" s="18"/>
      <c r="BSN129" s="18"/>
      <c r="BSO129" s="18"/>
      <c r="BSP129" s="18"/>
      <c r="BSQ129" s="18"/>
      <c r="BSR129" s="18"/>
      <c r="BSS129" s="18"/>
      <c r="BST129" s="18"/>
      <c r="BSU129" s="18"/>
      <c r="BSV129" s="18"/>
      <c r="BSW129" s="18"/>
      <c r="BSX129" s="18"/>
      <c r="BSY129" s="18"/>
      <c r="BSZ129" s="18"/>
      <c r="BTA129" s="18"/>
      <c r="BTB129" s="18"/>
      <c r="BTC129" s="18"/>
      <c r="BTD129" s="18"/>
      <c r="BTE129" s="18"/>
      <c r="BTF129" s="18"/>
      <c r="BTG129" s="18"/>
      <c r="BTH129" s="18"/>
      <c r="BTI129" s="18"/>
      <c r="BTJ129" s="18"/>
      <c r="BTK129" s="18"/>
      <c r="BTL129" s="18"/>
      <c r="BTM129" s="18"/>
      <c r="BTN129" s="18"/>
      <c r="BTO129" s="18"/>
      <c r="BTP129" s="18"/>
      <c r="BTQ129" s="18"/>
      <c r="BTR129" s="18"/>
      <c r="BTS129" s="18"/>
      <c r="BTT129" s="18"/>
      <c r="BTU129" s="18"/>
      <c r="BTV129" s="18"/>
      <c r="BTW129" s="18"/>
      <c r="BTX129" s="18"/>
      <c r="BTY129" s="18"/>
      <c r="BTZ129" s="18"/>
      <c r="BUA129" s="18"/>
      <c r="BUB129" s="18"/>
      <c r="BUC129" s="18"/>
      <c r="BUD129" s="18"/>
      <c r="BUE129" s="18"/>
      <c r="BUF129" s="18"/>
      <c r="BUG129" s="18"/>
      <c r="BUH129" s="18"/>
      <c r="BUI129" s="18"/>
      <c r="BUJ129" s="18"/>
      <c r="BUK129" s="18"/>
      <c r="BUL129" s="18"/>
      <c r="BUM129" s="18"/>
      <c r="BUN129" s="18"/>
      <c r="BUO129" s="18"/>
      <c r="BUP129" s="18"/>
      <c r="BUQ129" s="18"/>
      <c r="BUR129" s="18"/>
      <c r="BUS129" s="18"/>
      <c r="BUT129" s="18"/>
      <c r="BUU129" s="18"/>
      <c r="BUV129" s="18"/>
      <c r="BUW129" s="18"/>
      <c r="BUX129" s="18"/>
      <c r="BUY129" s="18"/>
      <c r="BUZ129" s="18"/>
      <c r="BVA129" s="18"/>
      <c r="BVB129" s="18"/>
      <c r="BVC129" s="18"/>
      <c r="BVD129" s="18"/>
      <c r="BVE129" s="18"/>
      <c r="BVF129" s="18"/>
      <c r="BVG129" s="18"/>
      <c r="BVH129" s="18"/>
      <c r="BVI129" s="18"/>
      <c r="BVJ129" s="18"/>
      <c r="BVK129" s="18"/>
      <c r="BVL129" s="18"/>
      <c r="BVM129" s="18"/>
      <c r="BVN129" s="18"/>
      <c r="BVO129" s="18"/>
      <c r="BVP129" s="18"/>
      <c r="BVQ129" s="18"/>
      <c r="BVR129" s="18"/>
      <c r="BVS129" s="18"/>
      <c r="BVT129" s="18"/>
      <c r="BVU129" s="18"/>
      <c r="BVV129" s="18"/>
      <c r="BVW129" s="18"/>
      <c r="BVX129" s="18"/>
      <c r="BVY129" s="18"/>
      <c r="BVZ129" s="18"/>
      <c r="BWA129" s="18"/>
      <c r="BWB129" s="18"/>
      <c r="BWC129" s="18"/>
      <c r="BWD129" s="18"/>
      <c r="BWE129" s="18"/>
      <c r="BWF129" s="18"/>
      <c r="BWG129" s="18"/>
      <c r="BWH129" s="18"/>
      <c r="BWI129" s="18"/>
      <c r="BWJ129" s="18"/>
      <c r="BWK129" s="18"/>
      <c r="BWL129" s="18"/>
      <c r="BWM129" s="18"/>
      <c r="BWN129" s="18"/>
      <c r="BWO129" s="18"/>
      <c r="BWP129" s="18"/>
      <c r="BWQ129" s="18"/>
      <c r="BWR129" s="18"/>
      <c r="BWS129" s="18"/>
      <c r="BWT129" s="18"/>
      <c r="BWU129" s="18"/>
      <c r="BWV129" s="18"/>
      <c r="BWW129" s="18"/>
      <c r="BWX129" s="18"/>
      <c r="BWY129" s="18"/>
      <c r="BWZ129" s="18"/>
      <c r="BXA129" s="18"/>
      <c r="BXB129" s="18"/>
      <c r="BXC129" s="18"/>
      <c r="BXD129" s="18"/>
      <c r="BXE129" s="18"/>
      <c r="BXF129" s="18"/>
      <c r="BXG129" s="18"/>
      <c r="BXH129" s="18"/>
      <c r="BXI129" s="18"/>
      <c r="BXJ129" s="18"/>
      <c r="BXK129" s="18"/>
      <c r="BXL129" s="18"/>
      <c r="BXM129" s="18"/>
      <c r="BXN129" s="18"/>
      <c r="BXO129" s="18"/>
      <c r="BXP129" s="18"/>
      <c r="BXQ129" s="18"/>
      <c r="BXR129" s="18"/>
      <c r="BXS129" s="18"/>
      <c r="BXT129" s="18"/>
      <c r="BXU129" s="18"/>
      <c r="BXV129" s="18"/>
      <c r="BXW129" s="18"/>
      <c r="BXX129" s="18"/>
      <c r="BXY129" s="18"/>
      <c r="BXZ129" s="18"/>
      <c r="BYA129" s="18"/>
      <c r="BYB129" s="18"/>
      <c r="BYC129" s="18"/>
      <c r="BYD129" s="18"/>
      <c r="BYE129" s="18"/>
      <c r="BYF129" s="18"/>
      <c r="BYG129" s="18"/>
      <c r="BYH129" s="18"/>
      <c r="BYI129" s="18"/>
      <c r="BYJ129" s="18"/>
      <c r="BYK129" s="18"/>
      <c r="BYL129" s="18"/>
      <c r="BYM129" s="18"/>
      <c r="BYN129" s="18"/>
      <c r="BYO129" s="18"/>
      <c r="BYP129" s="18"/>
      <c r="BYQ129" s="18"/>
      <c r="BYR129" s="18"/>
      <c r="BYS129" s="18"/>
      <c r="BYT129" s="18"/>
      <c r="BYU129" s="18"/>
      <c r="BYV129" s="18"/>
      <c r="BYW129" s="18"/>
      <c r="BYX129" s="18"/>
      <c r="BYY129" s="18"/>
      <c r="BYZ129" s="18"/>
      <c r="BZA129" s="18"/>
      <c r="BZB129" s="18"/>
      <c r="BZC129" s="18"/>
      <c r="BZD129" s="18"/>
      <c r="BZE129" s="18"/>
      <c r="BZF129" s="18"/>
      <c r="BZG129" s="18"/>
      <c r="BZH129" s="18"/>
      <c r="BZI129" s="18"/>
      <c r="BZJ129" s="18"/>
      <c r="BZK129" s="18"/>
      <c r="BZL129" s="18"/>
      <c r="BZM129" s="18"/>
      <c r="BZN129" s="18"/>
      <c r="BZO129" s="18"/>
      <c r="BZP129" s="18"/>
      <c r="BZQ129" s="18"/>
      <c r="BZR129" s="18"/>
      <c r="BZS129" s="18"/>
      <c r="BZT129" s="18"/>
      <c r="BZU129" s="18"/>
      <c r="BZV129" s="18"/>
      <c r="BZW129" s="18"/>
      <c r="BZX129" s="18"/>
      <c r="BZY129" s="18"/>
      <c r="BZZ129" s="18"/>
      <c r="CAA129" s="18"/>
      <c r="CAB129" s="18"/>
      <c r="CAC129" s="18"/>
      <c r="CAD129" s="18"/>
      <c r="CAE129" s="18"/>
      <c r="CAF129" s="18"/>
      <c r="CAG129" s="18"/>
      <c r="CAH129" s="18"/>
      <c r="CAI129" s="18"/>
      <c r="CAJ129" s="18"/>
      <c r="CAK129" s="18"/>
      <c r="CAL129" s="18"/>
      <c r="CAM129" s="18"/>
      <c r="CAN129" s="18"/>
      <c r="CAO129" s="18"/>
      <c r="CAP129" s="18"/>
      <c r="CAQ129" s="18"/>
      <c r="CAR129" s="18"/>
      <c r="CAS129" s="18"/>
      <c r="CAT129" s="18"/>
      <c r="CAU129" s="18"/>
      <c r="CAV129" s="18"/>
      <c r="CAW129" s="18"/>
      <c r="CAX129" s="18"/>
      <c r="CAY129" s="18"/>
      <c r="CAZ129" s="18"/>
      <c r="CBA129" s="18"/>
      <c r="CBB129" s="18"/>
      <c r="CBC129" s="18"/>
      <c r="CBD129" s="18"/>
      <c r="CBE129" s="18"/>
      <c r="CBF129" s="18"/>
      <c r="CBG129" s="18"/>
      <c r="CBH129" s="18"/>
      <c r="CBI129" s="18"/>
      <c r="CBJ129" s="18"/>
      <c r="CBK129" s="18"/>
      <c r="CBL129" s="18"/>
      <c r="CBM129" s="18"/>
      <c r="CBN129" s="18"/>
      <c r="CBO129" s="18"/>
      <c r="CBP129" s="18"/>
      <c r="CBQ129" s="18"/>
      <c r="CBR129" s="18"/>
      <c r="CBS129" s="18"/>
      <c r="CBT129" s="18"/>
      <c r="CBU129" s="18"/>
      <c r="CBV129" s="18"/>
      <c r="CBW129" s="18"/>
      <c r="CBX129" s="18"/>
      <c r="CBY129" s="18"/>
      <c r="CBZ129" s="18"/>
      <c r="CCA129" s="18"/>
      <c r="CCB129" s="18"/>
      <c r="CCC129" s="18"/>
      <c r="CCD129" s="18"/>
      <c r="CCE129" s="18"/>
      <c r="CCF129" s="18"/>
      <c r="CCG129" s="18"/>
      <c r="CCH129" s="18"/>
      <c r="CCI129" s="18"/>
      <c r="CCJ129" s="18"/>
      <c r="CCK129" s="18"/>
      <c r="CCL129" s="18"/>
      <c r="CCM129" s="18"/>
      <c r="CCN129" s="18"/>
      <c r="CCO129" s="18"/>
      <c r="CCP129" s="18"/>
      <c r="CCQ129" s="18"/>
      <c r="CCR129" s="18"/>
      <c r="CCS129" s="18"/>
      <c r="CCT129" s="18"/>
      <c r="CCU129" s="18"/>
      <c r="CCV129" s="18"/>
      <c r="CCW129" s="18"/>
      <c r="CCX129" s="18"/>
      <c r="CCY129" s="18"/>
      <c r="CCZ129" s="18"/>
      <c r="CDA129" s="18"/>
      <c r="CDB129" s="18"/>
      <c r="CDC129" s="18"/>
      <c r="CDD129" s="18"/>
      <c r="CDE129" s="18"/>
      <c r="CDF129" s="18"/>
      <c r="CDG129" s="18"/>
      <c r="CDH129" s="18"/>
      <c r="CDI129" s="18"/>
      <c r="CDJ129" s="18"/>
      <c r="CDK129" s="18"/>
      <c r="CDL129" s="18"/>
      <c r="CDM129" s="18"/>
      <c r="CDN129" s="18"/>
      <c r="CDO129" s="18"/>
      <c r="CDP129" s="18"/>
      <c r="CDQ129" s="18"/>
      <c r="CDR129" s="18"/>
      <c r="CDS129" s="18"/>
      <c r="CDT129" s="18"/>
      <c r="CDU129" s="18"/>
      <c r="CDV129" s="18"/>
      <c r="CDW129" s="18"/>
      <c r="CDX129" s="18"/>
      <c r="CDY129" s="18"/>
      <c r="CDZ129" s="18"/>
      <c r="CEA129" s="18"/>
      <c r="CEB129" s="18"/>
      <c r="CEC129" s="18"/>
      <c r="CED129" s="18"/>
      <c r="CEE129" s="18"/>
      <c r="CEF129" s="18"/>
      <c r="CEG129" s="18"/>
      <c r="CEH129" s="18"/>
      <c r="CEI129" s="18"/>
      <c r="CEJ129" s="18"/>
      <c r="CEK129" s="18"/>
      <c r="CEL129" s="18"/>
      <c r="CEM129" s="18"/>
      <c r="CEN129" s="18"/>
      <c r="CEO129" s="18"/>
      <c r="CEP129" s="18"/>
      <c r="CEQ129" s="18"/>
      <c r="CER129" s="18"/>
      <c r="CES129" s="18"/>
      <c r="CET129" s="18"/>
      <c r="CEU129" s="18"/>
      <c r="CEV129" s="18"/>
      <c r="CEW129" s="18"/>
      <c r="CEX129" s="18"/>
      <c r="CEY129" s="18"/>
      <c r="CEZ129" s="18"/>
      <c r="CFA129" s="18"/>
      <c r="CFB129" s="18"/>
      <c r="CFC129" s="18"/>
      <c r="CFD129" s="18"/>
      <c r="CFE129" s="18"/>
      <c r="CFF129" s="18"/>
      <c r="CFG129" s="18"/>
      <c r="CFH129" s="18"/>
      <c r="CFI129" s="18"/>
      <c r="CFJ129" s="18"/>
      <c r="CFK129" s="18"/>
      <c r="CFL129" s="18"/>
      <c r="CFM129" s="18"/>
      <c r="CFN129" s="18"/>
      <c r="CFO129" s="18"/>
      <c r="CFP129" s="18"/>
      <c r="CFQ129" s="18"/>
      <c r="CFR129" s="18"/>
      <c r="CFS129" s="18"/>
      <c r="CFT129" s="18"/>
      <c r="CFU129" s="18"/>
      <c r="CFV129" s="18"/>
      <c r="CFW129" s="18"/>
      <c r="CFX129" s="18"/>
      <c r="CFY129" s="18"/>
      <c r="CFZ129" s="18"/>
      <c r="CGA129" s="18"/>
      <c r="CGB129" s="18"/>
      <c r="CGC129" s="18"/>
      <c r="CGD129" s="18"/>
      <c r="CGE129" s="18"/>
      <c r="CGF129" s="18"/>
      <c r="CGG129" s="18"/>
      <c r="CGH129" s="18"/>
      <c r="CGI129" s="18"/>
      <c r="CGJ129" s="18"/>
      <c r="CGK129" s="18"/>
      <c r="CGL129" s="18"/>
      <c r="CGM129" s="18"/>
      <c r="CGN129" s="18"/>
      <c r="CGO129" s="18"/>
      <c r="CGP129" s="18"/>
      <c r="CGQ129" s="18"/>
      <c r="CGR129" s="18"/>
      <c r="CGS129" s="18"/>
      <c r="CGT129" s="18"/>
      <c r="CGU129" s="18"/>
      <c r="CGV129" s="18"/>
      <c r="CGW129" s="18"/>
      <c r="CGX129" s="18"/>
      <c r="CGY129" s="18"/>
      <c r="CGZ129" s="18"/>
      <c r="CHA129" s="18"/>
      <c r="CHB129" s="18"/>
      <c r="CHC129" s="18"/>
      <c r="CHD129" s="18"/>
      <c r="CHE129" s="18"/>
      <c r="CHF129" s="18"/>
      <c r="CHG129" s="18"/>
      <c r="CHH129" s="18"/>
      <c r="CHI129" s="18"/>
      <c r="CHJ129" s="18"/>
      <c r="CHK129" s="18"/>
      <c r="CHL129" s="18"/>
      <c r="CHM129" s="18"/>
      <c r="CHN129" s="18"/>
      <c r="CHO129" s="18"/>
      <c r="CHP129" s="18"/>
      <c r="CHQ129" s="18"/>
      <c r="CHR129" s="18"/>
      <c r="CHS129" s="18"/>
      <c r="CHT129" s="18"/>
      <c r="CHU129" s="18"/>
      <c r="CHV129" s="18"/>
      <c r="CHW129" s="18"/>
      <c r="CHX129" s="18"/>
      <c r="CHY129" s="18"/>
      <c r="CHZ129" s="18"/>
      <c r="CIA129" s="18"/>
      <c r="CIB129" s="18"/>
      <c r="CIC129" s="18"/>
      <c r="CID129" s="18"/>
      <c r="CIE129" s="18"/>
      <c r="CIF129" s="18"/>
      <c r="CIG129" s="18"/>
      <c r="CIH129" s="18"/>
      <c r="CII129" s="18"/>
      <c r="CIJ129" s="18"/>
      <c r="CIK129" s="18"/>
      <c r="CIL129" s="18"/>
      <c r="CIM129" s="18"/>
      <c r="CIN129" s="18"/>
      <c r="CIO129" s="18"/>
      <c r="CIP129" s="18"/>
      <c r="CIQ129" s="18"/>
      <c r="CIR129" s="18"/>
      <c r="CIS129" s="18"/>
      <c r="CIT129" s="18"/>
      <c r="CIU129" s="18"/>
      <c r="CIV129" s="18"/>
      <c r="CIW129" s="18"/>
      <c r="CIX129" s="18"/>
      <c r="CIY129" s="18"/>
      <c r="CIZ129" s="18"/>
      <c r="CJA129" s="18"/>
      <c r="CJB129" s="18"/>
      <c r="CJC129" s="18"/>
      <c r="CJD129" s="18"/>
      <c r="CJE129" s="18"/>
      <c r="CJF129" s="18"/>
      <c r="CJG129" s="18"/>
      <c r="CJH129" s="18"/>
      <c r="CJI129" s="18"/>
      <c r="CJJ129" s="18"/>
      <c r="CJK129" s="18"/>
      <c r="CJL129" s="18"/>
      <c r="CJM129" s="18"/>
      <c r="CJN129" s="18"/>
      <c r="CJO129" s="18"/>
      <c r="CJP129" s="18"/>
      <c r="CJQ129" s="18"/>
      <c r="CJR129" s="18"/>
      <c r="CJS129" s="18"/>
      <c r="CJT129" s="18"/>
      <c r="CJU129" s="18"/>
      <c r="CJV129" s="18"/>
      <c r="CJW129" s="18"/>
      <c r="CJX129" s="18"/>
      <c r="CJY129" s="18"/>
      <c r="CJZ129" s="18"/>
      <c r="CKA129" s="18"/>
      <c r="CKB129" s="18"/>
      <c r="CKC129" s="18"/>
      <c r="CKD129" s="18"/>
      <c r="CKE129" s="18"/>
      <c r="CKF129" s="18"/>
      <c r="CKG129" s="18"/>
      <c r="CKH129" s="18"/>
      <c r="CKI129" s="18"/>
      <c r="CKJ129" s="18"/>
      <c r="CKK129" s="18"/>
      <c r="CKL129" s="18"/>
      <c r="CKM129" s="18"/>
      <c r="CKN129" s="18"/>
      <c r="CKO129" s="18"/>
      <c r="CKP129" s="18"/>
      <c r="CKQ129" s="18"/>
      <c r="CKR129" s="18"/>
      <c r="CKS129" s="18"/>
      <c r="CKT129" s="18"/>
      <c r="CKU129" s="18"/>
      <c r="CKV129" s="18"/>
      <c r="CKW129" s="18"/>
      <c r="CKX129" s="18"/>
      <c r="CKY129" s="18"/>
      <c r="CKZ129" s="18"/>
      <c r="CLA129" s="18"/>
      <c r="CLB129" s="18"/>
      <c r="CLC129" s="18"/>
      <c r="CLD129" s="18"/>
      <c r="CLE129" s="18"/>
      <c r="CLF129" s="18"/>
      <c r="CLG129" s="18"/>
      <c r="CLH129" s="18"/>
      <c r="CLI129" s="18"/>
      <c r="CLJ129" s="18"/>
      <c r="CLK129" s="18"/>
      <c r="CLL129" s="18"/>
      <c r="CLM129" s="18"/>
      <c r="CLN129" s="18"/>
      <c r="CLO129" s="18"/>
      <c r="CLP129" s="18"/>
      <c r="CLQ129" s="18"/>
      <c r="CLR129" s="18"/>
      <c r="CLS129" s="18"/>
      <c r="CLT129" s="18"/>
      <c r="CLU129" s="18"/>
      <c r="CLV129" s="18"/>
      <c r="CLW129" s="18"/>
      <c r="CLX129" s="18"/>
      <c r="CLY129" s="18"/>
      <c r="CLZ129" s="18"/>
      <c r="CMA129" s="18"/>
      <c r="CMB129" s="18"/>
      <c r="CMC129" s="18"/>
      <c r="CMD129" s="18"/>
      <c r="CME129" s="18"/>
      <c r="CMF129" s="18"/>
      <c r="CMG129" s="18"/>
      <c r="CMH129" s="18"/>
      <c r="CMI129" s="18"/>
      <c r="CMJ129" s="18"/>
      <c r="CMK129" s="18"/>
      <c r="CML129" s="18"/>
      <c r="CMM129" s="18"/>
      <c r="CMN129" s="18"/>
      <c r="CMO129" s="18"/>
      <c r="CMP129" s="18"/>
      <c r="CMQ129" s="18"/>
      <c r="CMR129" s="18"/>
      <c r="CMS129" s="18"/>
      <c r="CMT129" s="18"/>
      <c r="CMU129" s="18"/>
      <c r="CMV129" s="18"/>
      <c r="CMW129" s="18"/>
      <c r="CMX129" s="18"/>
      <c r="CMY129" s="18"/>
      <c r="CMZ129" s="18"/>
      <c r="CNA129" s="18"/>
      <c r="CNB129" s="18"/>
      <c r="CNC129" s="18"/>
      <c r="CND129" s="18"/>
      <c r="CNE129" s="18"/>
      <c r="CNF129" s="18"/>
      <c r="CNG129" s="18"/>
      <c r="CNH129" s="18"/>
      <c r="CNI129" s="18"/>
      <c r="CNJ129" s="18"/>
      <c r="CNK129" s="18"/>
      <c r="CNL129" s="18"/>
      <c r="CNM129" s="18"/>
      <c r="CNN129" s="18"/>
      <c r="CNO129" s="18"/>
      <c r="CNP129" s="18"/>
      <c r="CNQ129" s="18"/>
      <c r="CNR129" s="18"/>
      <c r="CNS129" s="18"/>
      <c r="CNT129" s="18"/>
      <c r="CNU129" s="18"/>
      <c r="CNV129" s="18"/>
      <c r="CNW129" s="18"/>
      <c r="CNX129" s="18"/>
      <c r="CNY129" s="18"/>
      <c r="CNZ129" s="18"/>
      <c r="COA129" s="18"/>
      <c r="COB129" s="18"/>
      <c r="COC129" s="18"/>
      <c r="COD129" s="18"/>
      <c r="COE129" s="18"/>
      <c r="COF129" s="18"/>
      <c r="COG129" s="18"/>
      <c r="COH129" s="18"/>
      <c r="COI129" s="18"/>
      <c r="COJ129" s="18"/>
      <c r="COK129" s="18"/>
      <c r="COL129" s="18"/>
      <c r="COM129" s="18"/>
      <c r="CON129" s="18"/>
      <c r="COO129" s="18"/>
      <c r="COP129" s="18"/>
      <c r="COQ129" s="18"/>
      <c r="COR129" s="18"/>
      <c r="COS129" s="18"/>
      <c r="COT129" s="18"/>
      <c r="COU129" s="18"/>
      <c r="COV129" s="18"/>
      <c r="COW129" s="18"/>
      <c r="COX129" s="18"/>
      <c r="COY129" s="18"/>
      <c r="COZ129" s="18"/>
      <c r="CPA129" s="18"/>
      <c r="CPB129" s="18"/>
      <c r="CPC129" s="18"/>
      <c r="CPD129" s="18"/>
      <c r="CPE129" s="18"/>
      <c r="CPF129" s="18"/>
      <c r="CPG129" s="18"/>
      <c r="CPH129" s="18"/>
      <c r="CPI129" s="18"/>
      <c r="CPJ129" s="18"/>
      <c r="CPK129" s="18"/>
      <c r="CPL129" s="18"/>
      <c r="CPM129" s="18"/>
      <c r="CPN129" s="18"/>
      <c r="CPO129" s="18"/>
      <c r="CPP129" s="18"/>
      <c r="CPQ129" s="18"/>
      <c r="CPR129" s="18"/>
      <c r="CPS129" s="18"/>
      <c r="CPT129" s="18"/>
      <c r="CPU129" s="18"/>
      <c r="CPV129" s="18"/>
      <c r="CPW129" s="18"/>
      <c r="CPX129" s="18"/>
      <c r="CPY129" s="18"/>
      <c r="CPZ129" s="18"/>
      <c r="CQA129" s="18"/>
      <c r="CQB129" s="18"/>
      <c r="CQC129" s="18"/>
      <c r="CQD129" s="18"/>
      <c r="CQE129" s="18"/>
      <c r="CQF129" s="18"/>
      <c r="CQG129" s="18"/>
      <c r="CQH129" s="18"/>
      <c r="CQI129" s="18"/>
      <c r="CQJ129" s="18"/>
      <c r="CQK129" s="18"/>
      <c r="CQL129" s="18"/>
      <c r="CQM129" s="18"/>
      <c r="CQN129" s="18"/>
      <c r="CQO129" s="18"/>
      <c r="CQP129" s="18"/>
      <c r="CQQ129" s="18"/>
      <c r="CQR129" s="18"/>
      <c r="CQS129" s="18"/>
      <c r="CQT129" s="18"/>
      <c r="CQU129" s="18"/>
      <c r="CQV129" s="18"/>
      <c r="CQW129" s="18"/>
      <c r="CQX129" s="18"/>
      <c r="CQY129" s="18"/>
      <c r="CQZ129" s="18"/>
      <c r="CRA129" s="18"/>
      <c r="CRB129" s="18"/>
      <c r="CRC129" s="18"/>
      <c r="CRD129" s="18"/>
      <c r="CRE129" s="18"/>
      <c r="CRF129" s="18"/>
      <c r="CRG129" s="18"/>
      <c r="CRH129" s="18"/>
      <c r="CRI129" s="18"/>
      <c r="CRJ129" s="18"/>
      <c r="CRK129" s="18"/>
      <c r="CRL129" s="18"/>
      <c r="CRM129" s="18"/>
      <c r="CRN129" s="18"/>
      <c r="CRO129" s="18"/>
      <c r="CRP129" s="18"/>
      <c r="CRQ129" s="18"/>
      <c r="CRR129" s="18"/>
      <c r="CRS129" s="18"/>
      <c r="CRT129" s="18"/>
      <c r="CRU129" s="18"/>
      <c r="CRV129" s="18"/>
      <c r="CRW129" s="18"/>
      <c r="CRX129" s="18"/>
      <c r="CRY129" s="18"/>
      <c r="CRZ129" s="18"/>
      <c r="CSA129" s="18"/>
      <c r="CSB129" s="18"/>
      <c r="CSC129" s="18"/>
      <c r="CSD129" s="18"/>
      <c r="CSE129" s="18"/>
      <c r="CSF129" s="18"/>
      <c r="CSG129" s="18"/>
      <c r="CSH129" s="18"/>
      <c r="CSI129" s="18"/>
      <c r="CSJ129" s="18"/>
      <c r="CSK129" s="18"/>
      <c r="CSL129" s="18"/>
      <c r="CSM129" s="18"/>
      <c r="CSN129" s="18"/>
      <c r="CSO129" s="18"/>
      <c r="CSP129" s="18"/>
      <c r="CSQ129" s="18"/>
      <c r="CSR129" s="18"/>
      <c r="CSS129" s="18"/>
      <c r="CST129" s="18"/>
      <c r="CSU129" s="18"/>
      <c r="CSV129" s="18"/>
      <c r="CSW129" s="18"/>
      <c r="CSX129" s="18"/>
      <c r="CSY129" s="18"/>
      <c r="CSZ129" s="18"/>
      <c r="CTA129" s="18"/>
      <c r="CTB129" s="18"/>
      <c r="CTC129" s="18"/>
      <c r="CTD129" s="18"/>
      <c r="CTE129" s="18"/>
      <c r="CTF129" s="18"/>
      <c r="CTG129" s="18"/>
      <c r="CTH129" s="18"/>
      <c r="CTI129" s="18"/>
      <c r="CTJ129" s="18"/>
      <c r="CTK129" s="18"/>
      <c r="CTL129" s="18"/>
      <c r="CTM129" s="18"/>
      <c r="CTN129" s="18"/>
      <c r="CTO129" s="18"/>
      <c r="CTP129" s="18"/>
      <c r="CTQ129" s="18"/>
      <c r="CTR129" s="18"/>
      <c r="CTS129" s="18"/>
      <c r="CTT129" s="18"/>
      <c r="CTU129" s="18"/>
      <c r="CTV129" s="18"/>
      <c r="CTW129" s="18"/>
      <c r="CTX129" s="18"/>
      <c r="CTY129" s="18"/>
      <c r="CTZ129" s="18"/>
      <c r="CUA129" s="18"/>
      <c r="CUB129" s="18"/>
      <c r="CUC129" s="18"/>
      <c r="CUD129" s="18"/>
      <c r="CUE129" s="18"/>
      <c r="CUF129" s="18"/>
      <c r="CUG129" s="18"/>
      <c r="CUH129" s="18"/>
      <c r="CUI129" s="18"/>
      <c r="CUJ129" s="18"/>
      <c r="CUK129" s="18"/>
      <c r="CUL129" s="18"/>
      <c r="CUM129" s="18"/>
      <c r="CUN129" s="18"/>
      <c r="CUO129" s="18"/>
      <c r="CUP129" s="18"/>
      <c r="CUQ129" s="18"/>
      <c r="CUR129" s="18"/>
      <c r="CUS129" s="18"/>
      <c r="CUT129" s="18"/>
      <c r="CUU129" s="18"/>
      <c r="CUV129" s="18"/>
      <c r="CUW129" s="18"/>
      <c r="CUX129" s="18"/>
      <c r="CUY129" s="18"/>
      <c r="CUZ129" s="18"/>
      <c r="CVA129" s="18"/>
      <c r="CVB129" s="18"/>
      <c r="CVC129" s="18"/>
      <c r="CVD129" s="18"/>
      <c r="CVE129" s="18"/>
      <c r="CVF129" s="18"/>
      <c r="CVG129" s="18"/>
      <c r="CVH129" s="18"/>
      <c r="CVI129" s="18"/>
      <c r="CVJ129" s="18"/>
      <c r="CVK129" s="18"/>
      <c r="CVL129" s="18"/>
      <c r="CVM129" s="18"/>
      <c r="CVN129" s="18"/>
      <c r="CVO129" s="18"/>
      <c r="CVP129" s="18"/>
      <c r="CVQ129" s="18"/>
      <c r="CVR129" s="18"/>
      <c r="CVS129" s="18"/>
      <c r="CVT129" s="18"/>
      <c r="CVU129" s="18"/>
      <c r="CVV129" s="18"/>
      <c r="CVW129" s="18"/>
      <c r="CVX129" s="18"/>
      <c r="CVY129" s="18"/>
      <c r="CVZ129" s="18"/>
      <c r="CWA129" s="18"/>
      <c r="CWB129" s="18"/>
      <c r="CWC129" s="18"/>
      <c r="CWD129" s="18"/>
      <c r="CWE129" s="18"/>
      <c r="CWF129" s="18"/>
      <c r="CWG129" s="18"/>
      <c r="CWH129" s="18"/>
      <c r="CWI129" s="18"/>
      <c r="CWJ129" s="18"/>
      <c r="CWK129" s="18"/>
      <c r="CWL129" s="18"/>
      <c r="CWM129" s="18"/>
      <c r="CWN129" s="18"/>
      <c r="CWO129" s="18"/>
      <c r="CWP129" s="18"/>
      <c r="CWQ129" s="18"/>
      <c r="CWR129" s="18"/>
      <c r="CWS129" s="18"/>
      <c r="CWT129" s="18"/>
      <c r="CWU129" s="18"/>
      <c r="CWV129" s="18"/>
      <c r="CWW129" s="18"/>
      <c r="CWX129" s="18"/>
      <c r="CWY129" s="18"/>
      <c r="CWZ129" s="18"/>
      <c r="CXA129" s="18"/>
      <c r="CXB129" s="18"/>
      <c r="CXC129" s="18"/>
      <c r="CXD129" s="18"/>
      <c r="CXE129" s="18"/>
      <c r="CXF129" s="18"/>
      <c r="CXG129" s="18"/>
      <c r="CXH129" s="18"/>
      <c r="CXI129" s="18"/>
      <c r="CXJ129" s="18"/>
      <c r="CXK129" s="18"/>
      <c r="CXL129" s="18"/>
      <c r="CXM129" s="18"/>
      <c r="CXN129" s="18"/>
      <c r="CXO129" s="18"/>
      <c r="CXP129" s="18"/>
      <c r="CXQ129" s="18"/>
      <c r="CXR129" s="18"/>
      <c r="CXS129" s="18"/>
      <c r="CXT129" s="18"/>
      <c r="CXU129" s="18"/>
      <c r="CXV129" s="18"/>
      <c r="CXW129" s="18"/>
      <c r="CXX129" s="18"/>
      <c r="CXY129" s="18"/>
      <c r="CXZ129" s="18"/>
      <c r="CYA129" s="18"/>
      <c r="CYB129" s="18"/>
      <c r="CYC129" s="18"/>
      <c r="CYD129" s="18"/>
      <c r="CYE129" s="18"/>
      <c r="CYF129" s="18"/>
      <c r="CYG129" s="18"/>
      <c r="CYH129" s="18"/>
      <c r="CYI129" s="18"/>
      <c r="CYJ129" s="18"/>
      <c r="CYK129" s="18"/>
      <c r="CYL129" s="18"/>
      <c r="CYM129" s="18"/>
      <c r="CYN129" s="18"/>
      <c r="CYO129" s="18"/>
      <c r="CYP129" s="18"/>
      <c r="CYQ129" s="18"/>
      <c r="CYR129" s="18"/>
      <c r="CYS129" s="18"/>
      <c r="CYT129" s="18"/>
      <c r="CYU129" s="18"/>
      <c r="CYV129" s="18"/>
      <c r="CYW129" s="18"/>
      <c r="CYX129" s="18"/>
      <c r="CYY129" s="18"/>
      <c r="CYZ129" s="18"/>
      <c r="CZA129" s="18"/>
      <c r="CZB129" s="18"/>
      <c r="CZC129" s="18"/>
      <c r="CZD129" s="18"/>
      <c r="CZE129" s="18"/>
      <c r="CZF129" s="18"/>
      <c r="CZG129" s="18"/>
      <c r="CZH129" s="18"/>
      <c r="CZI129" s="18"/>
      <c r="CZJ129" s="18"/>
      <c r="CZK129" s="18"/>
      <c r="CZL129" s="18"/>
      <c r="CZM129" s="18"/>
      <c r="CZN129" s="18"/>
      <c r="CZO129" s="18"/>
      <c r="CZP129" s="18"/>
      <c r="CZQ129" s="18"/>
      <c r="CZR129" s="18"/>
      <c r="CZS129" s="18"/>
      <c r="CZT129" s="18"/>
      <c r="CZU129" s="18"/>
      <c r="CZV129" s="18"/>
      <c r="CZW129" s="18"/>
      <c r="CZX129" s="18"/>
      <c r="CZY129" s="18"/>
      <c r="CZZ129" s="18"/>
      <c r="DAA129" s="18"/>
      <c r="DAB129" s="18"/>
      <c r="DAC129" s="18"/>
      <c r="DAD129" s="18"/>
      <c r="DAE129" s="18"/>
      <c r="DAF129" s="18"/>
      <c r="DAG129" s="18"/>
      <c r="DAH129" s="18"/>
      <c r="DAI129" s="18"/>
      <c r="DAJ129" s="18"/>
      <c r="DAK129" s="18"/>
      <c r="DAL129" s="18"/>
      <c r="DAM129" s="18"/>
      <c r="DAN129" s="18"/>
      <c r="DAO129" s="18"/>
      <c r="DAP129" s="18"/>
      <c r="DAQ129" s="18"/>
      <c r="DAR129" s="18"/>
      <c r="DAS129" s="18"/>
      <c r="DAT129" s="18"/>
      <c r="DAU129" s="18"/>
      <c r="DAV129" s="18"/>
      <c r="DAW129" s="18"/>
      <c r="DAX129" s="18"/>
      <c r="DAY129" s="18"/>
      <c r="DAZ129" s="18"/>
      <c r="DBA129" s="18"/>
      <c r="DBB129" s="18"/>
      <c r="DBC129" s="18"/>
      <c r="DBD129" s="18"/>
      <c r="DBE129" s="18"/>
      <c r="DBF129" s="18"/>
      <c r="DBG129" s="18"/>
      <c r="DBH129" s="18"/>
      <c r="DBI129" s="18"/>
      <c r="DBJ129" s="18"/>
      <c r="DBK129" s="18"/>
      <c r="DBL129" s="18"/>
      <c r="DBM129" s="18"/>
      <c r="DBN129" s="18"/>
      <c r="DBO129" s="18"/>
      <c r="DBP129" s="18"/>
      <c r="DBQ129" s="18"/>
      <c r="DBR129" s="18"/>
      <c r="DBS129" s="18"/>
      <c r="DBT129" s="18"/>
      <c r="DBU129" s="18"/>
      <c r="DBV129" s="18"/>
      <c r="DBW129" s="18"/>
      <c r="DBX129" s="18"/>
      <c r="DBY129" s="18"/>
      <c r="DBZ129" s="18"/>
      <c r="DCA129" s="18"/>
      <c r="DCB129" s="18"/>
      <c r="DCC129" s="18"/>
      <c r="DCD129" s="18"/>
      <c r="DCE129" s="18"/>
      <c r="DCF129" s="18"/>
      <c r="DCG129" s="18"/>
      <c r="DCH129" s="18"/>
      <c r="DCI129" s="18"/>
      <c r="DCJ129" s="18"/>
      <c r="DCK129" s="18"/>
      <c r="DCL129" s="18"/>
      <c r="DCM129" s="18"/>
      <c r="DCN129" s="18"/>
      <c r="DCO129" s="18"/>
      <c r="DCP129" s="18"/>
      <c r="DCQ129" s="18"/>
      <c r="DCR129" s="18"/>
      <c r="DCS129" s="18"/>
      <c r="DCT129" s="18"/>
      <c r="DCU129" s="18"/>
      <c r="DCV129" s="18"/>
      <c r="DCW129" s="18"/>
      <c r="DCX129" s="18"/>
      <c r="DCY129" s="18"/>
      <c r="DCZ129" s="18"/>
      <c r="DDA129" s="18"/>
      <c r="DDB129" s="18"/>
      <c r="DDC129" s="18"/>
      <c r="DDD129" s="18"/>
      <c r="DDE129" s="18"/>
      <c r="DDF129" s="18"/>
      <c r="DDG129" s="18"/>
      <c r="DDH129" s="18"/>
      <c r="DDI129" s="18"/>
      <c r="DDJ129" s="18"/>
      <c r="DDK129" s="18"/>
      <c r="DDL129" s="18"/>
      <c r="DDM129" s="18"/>
      <c r="DDN129" s="18"/>
      <c r="DDO129" s="18"/>
      <c r="DDP129" s="18"/>
      <c r="DDQ129" s="18"/>
      <c r="DDR129" s="18"/>
      <c r="DDS129" s="18"/>
      <c r="DDT129" s="18"/>
      <c r="DDU129" s="18"/>
      <c r="DDV129" s="18"/>
      <c r="DDW129" s="18"/>
      <c r="DDX129" s="18"/>
      <c r="DDY129" s="18"/>
      <c r="DDZ129" s="18"/>
      <c r="DEA129" s="18"/>
      <c r="DEB129" s="18"/>
      <c r="DEC129" s="18"/>
      <c r="DED129" s="18"/>
      <c r="DEE129" s="18"/>
      <c r="DEF129" s="18"/>
      <c r="DEG129" s="18"/>
      <c r="DEH129" s="18"/>
      <c r="DEI129" s="18"/>
      <c r="DEJ129" s="18"/>
      <c r="DEK129" s="18"/>
      <c r="DEL129" s="18"/>
      <c r="DEM129" s="18"/>
      <c r="DEN129" s="18"/>
      <c r="DEO129" s="18"/>
      <c r="DEP129" s="18"/>
      <c r="DEQ129" s="18"/>
      <c r="DER129" s="18"/>
      <c r="DES129" s="18"/>
      <c r="DET129" s="18"/>
      <c r="DEU129" s="18"/>
      <c r="DEV129" s="18"/>
      <c r="DEW129" s="18"/>
      <c r="DEX129" s="18"/>
      <c r="DEY129" s="18"/>
      <c r="DEZ129" s="18"/>
      <c r="DFA129" s="18"/>
      <c r="DFB129" s="18"/>
      <c r="DFC129" s="18"/>
      <c r="DFD129" s="18"/>
      <c r="DFE129" s="18"/>
      <c r="DFF129" s="18"/>
      <c r="DFG129" s="18"/>
      <c r="DFH129" s="18"/>
      <c r="DFI129" s="18"/>
      <c r="DFJ129" s="18"/>
      <c r="DFK129" s="18"/>
      <c r="DFL129" s="18"/>
      <c r="DFM129" s="18"/>
      <c r="DFN129" s="18"/>
      <c r="DFO129" s="18"/>
      <c r="DFP129" s="18"/>
      <c r="DFQ129" s="18"/>
      <c r="DFR129" s="18"/>
      <c r="DFS129" s="18"/>
      <c r="DFT129" s="18"/>
      <c r="DFU129" s="18"/>
      <c r="DFV129" s="18"/>
      <c r="DFW129" s="18"/>
      <c r="DFX129" s="18"/>
      <c r="DFY129" s="18"/>
      <c r="DFZ129" s="18"/>
      <c r="DGA129" s="18"/>
      <c r="DGB129" s="18"/>
      <c r="DGC129" s="18"/>
      <c r="DGD129" s="18"/>
      <c r="DGE129" s="18"/>
      <c r="DGF129" s="18"/>
      <c r="DGG129" s="18"/>
      <c r="DGH129" s="18"/>
      <c r="DGI129" s="18"/>
      <c r="DGJ129" s="18"/>
      <c r="DGK129" s="18"/>
      <c r="DGL129" s="18"/>
      <c r="DGM129" s="18"/>
      <c r="DGN129" s="18"/>
      <c r="DGO129" s="18"/>
      <c r="DGP129" s="18"/>
      <c r="DGQ129" s="18"/>
      <c r="DGR129" s="18"/>
      <c r="DGS129" s="18"/>
      <c r="DGT129" s="18"/>
      <c r="DGU129" s="18"/>
      <c r="DGV129" s="18"/>
      <c r="DGW129" s="18"/>
      <c r="DGX129" s="18"/>
      <c r="DGY129" s="18"/>
      <c r="DGZ129" s="18"/>
      <c r="DHA129" s="18"/>
      <c r="DHB129" s="18"/>
      <c r="DHC129" s="18"/>
      <c r="DHD129" s="18"/>
      <c r="DHE129" s="18"/>
      <c r="DHF129" s="18"/>
      <c r="DHG129" s="18"/>
      <c r="DHH129" s="18"/>
      <c r="DHI129" s="18"/>
      <c r="DHJ129" s="18"/>
      <c r="DHK129" s="18"/>
      <c r="DHL129" s="18"/>
      <c r="DHM129" s="18"/>
      <c r="DHN129" s="18"/>
      <c r="DHO129" s="18"/>
      <c r="DHP129" s="18"/>
      <c r="DHQ129" s="18"/>
      <c r="DHR129" s="18"/>
      <c r="DHS129" s="18"/>
      <c r="DHT129" s="18"/>
      <c r="DHU129" s="18"/>
      <c r="DHV129" s="18"/>
      <c r="DHW129" s="18"/>
      <c r="DHX129" s="18"/>
      <c r="DHY129" s="18"/>
      <c r="DHZ129" s="18"/>
      <c r="DIA129" s="18"/>
      <c r="DIB129" s="18"/>
      <c r="DIC129" s="18"/>
      <c r="DID129" s="18"/>
      <c r="DIE129" s="18"/>
      <c r="DIF129" s="18"/>
      <c r="DIG129" s="18"/>
      <c r="DIH129" s="18"/>
      <c r="DII129" s="18"/>
      <c r="DIJ129" s="18"/>
      <c r="DIK129" s="18"/>
      <c r="DIL129" s="18"/>
      <c r="DIM129" s="18"/>
      <c r="DIN129" s="18"/>
      <c r="DIO129" s="18"/>
      <c r="DIP129" s="18"/>
      <c r="DIQ129" s="18"/>
      <c r="DIR129" s="18"/>
      <c r="DIS129" s="18"/>
      <c r="DIT129" s="18"/>
      <c r="DIU129" s="18"/>
      <c r="DIV129" s="18"/>
      <c r="DIW129" s="18"/>
      <c r="DIX129" s="18"/>
      <c r="DIY129" s="18"/>
      <c r="DIZ129" s="18"/>
      <c r="DJA129" s="18"/>
      <c r="DJB129" s="18"/>
      <c r="DJC129" s="18"/>
      <c r="DJD129" s="18"/>
      <c r="DJE129" s="18"/>
      <c r="DJF129" s="18"/>
      <c r="DJG129" s="18"/>
      <c r="DJH129" s="18"/>
      <c r="DJI129" s="18"/>
      <c r="DJJ129" s="18"/>
      <c r="DJK129" s="18"/>
      <c r="DJL129" s="18"/>
      <c r="DJM129" s="18"/>
      <c r="DJN129" s="18"/>
      <c r="DJO129" s="18"/>
      <c r="DJP129" s="18"/>
      <c r="DJQ129" s="18"/>
      <c r="DJR129" s="18"/>
      <c r="DJS129" s="18"/>
      <c r="DJT129" s="18"/>
      <c r="DJU129" s="18"/>
      <c r="DJV129" s="18"/>
      <c r="DJW129" s="18"/>
      <c r="DJX129" s="18"/>
      <c r="DJY129" s="18"/>
      <c r="DJZ129" s="18"/>
      <c r="DKA129" s="18"/>
      <c r="DKB129" s="18"/>
      <c r="DKC129" s="18"/>
      <c r="DKD129" s="18"/>
      <c r="DKE129" s="18"/>
      <c r="DKF129" s="18"/>
      <c r="DKG129" s="18"/>
      <c r="DKH129" s="18"/>
      <c r="DKI129" s="18"/>
      <c r="DKJ129" s="18"/>
      <c r="DKK129" s="18"/>
      <c r="DKL129" s="18"/>
      <c r="DKM129" s="18"/>
      <c r="DKN129" s="18"/>
      <c r="DKO129" s="18"/>
      <c r="DKP129" s="18"/>
      <c r="DKQ129" s="18"/>
      <c r="DKR129" s="18"/>
      <c r="DKS129" s="18"/>
      <c r="DKT129" s="18"/>
      <c r="DKU129" s="18"/>
      <c r="DKV129" s="18"/>
      <c r="DKW129" s="18"/>
      <c r="DKX129" s="18"/>
      <c r="DKY129" s="18"/>
      <c r="DKZ129" s="18"/>
      <c r="DLA129" s="18"/>
      <c r="DLB129" s="18"/>
      <c r="DLC129" s="18"/>
      <c r="DLD129" s="18"/>
      <c r="DLE129" s="18"/>
      <c r="DLF129" s="18"/>
      <c r="DLG129" s="18"/>
      <c r="DLH129" s="18"/>
      <c r="DLI129" s="18"/>
      <c r="DLJ129" s="18"/>
      <c r="DLK129" s="18"/>
      <c r="DLL129" s="18"/>
      <c r="DLM129" s="18"/>
      <c r="DLN129" s="18"/>
      <c r="DLO129" s="18"/>
      <c r="DLP129" s="18"/>
      <c r="DLQ129" s="18"/>
      <c r="DLR129" s="18"/>
      <c r="DLS129" s="18"/>
      <c r="DLT129" s="18"/>
      <c r="DLU129" s="18"/>
      <c r="DLV129" s="18"/>
      <c r="DLW129" s="18"/>
      <c r="DLX129" s="18"/>
      <c r="DLY129" s="18"/>
      <c r="DLZ129" s="18"/>
      <c r="DMA129" s="18"/>
      <c r="DMB129" s="18"/>
      <c r="DMC129" s="18"/>
      <c r="DMD129" s="18"/>
      <c r="DME129" s="18"/>
      <c r="DMF129" s="18"/>
      <c r="DMG129" s="18"/>
      <c r="DMH129" s="18"/>
      <c r="DMI129" s="18"/>
      <c r="DMJ129" s="18"/>
      <c r="DMK129" s="18"/>
      <c r="DML129" s="18"/>
      <c r="DMM129" s="18"/>
      <c r="DMN129" s="18"/>
      <c r="DMO129" s="18"/>
      <c r="DMP129" s="18"/>
      <c r="DMQ129" s="18"/>
      <c r="DMR129" s="18"/>
      <c r="DMS129" s="18"/>
      <c r="DMT129" s="18"/>
      <c r="DMU129" s="18"/>
      <c r="DMV129" s="18"/>
      <c r="DMW129" s="18"/>
      <c r="DMX129" s="18"/>
      <c r="DMY129" s="18"/>
      <c r="DMZ129" s="18"/>
      <c r="DNA129" s="18"/>
      <c r="DNB129" s="18"/>
      <c r="DNC129" s="18"/>
      <c r="DND129" s="18"/>
      <c r="DNE129" s="18"/>
      <c r="DNF129" s="18"/>
      <c r="DNG129" s="18"/>
      <c r="DNH129" s="18"/>
      <c r="DNI129" s="18"/>
      <c r="DNJ129" s="18"/>
      <c r="DNK129" s="18"/>
      <c r="DNL129" s="18"/>
      <c r="DNM129" s="18"/>
      <c r="DNN129" s="18"/>
      <c r="DNO129" s="18"/>
      <c r="DNP129" s="18"/>
      <c r="DNQ129" s="18"/>
      <c r="DNR129" s="18"/>
      <c r="DNS129" s="18"/>
      <c r="DNT129" s="18"/>
      <c r="DNU129" s="18"/>
      <c r="DNV129" s="18"/>
      <c r="DNW129" s="18"/>
      <c r="DNX129" s="18"/>
      <c r="DNY129" s="18"/>
      <c r="DNZ129" s="18"/>
      <c r="DOA129" s="18"/>
      <c r="DOB129" s="18"/>
      <c r="DOC129" s="18"/>
      <c r="DOD129" s="18"/>
      <c r="DOE129" s="18"/>
      <c r="DOF129" s="18"/>
      <c r="DOG129" s="18"/>
      <c r="DOH129" s="18"/>
      <c r="DOI129" s="18"/>
      <c r="DOJ129" s="18"/>
      <c r="DOK129" s="18"/>
      <c r="DOL129" s="18"/>
      <c r="DOM129" s="18"/>
      <c r="DON129" s="18"/>
      <c r="DOO129" s="18"/>
      <c r="DOP129" s="18"/>
      <c r="DOQ129" s="18"/>
      <c r="DOR129" s="18"/>
      <c r="DOS129" s="18"/>
      <c r="DOT129" s="18"/>
      <c r="DOU129" s="18"/>
      <c r="DOV129" s="18"/>
      <c r="DOW129" s="18"/>
      <c r="DOX129" s="18"/>
      <c r="DOY129" s="18"/>
      <c r="DOZ129" s="18"/>
      <c r="DPA129" s="18"/>
      <c r="DPB129" s="18"/>
      <c r="DPC129" s="18"/>
      <c r="DPD129" s="18"/>
      <c r="DPE129" s="18"/>
      <c r="DPF129" s="18"/>
      <c r="DPG129" s="18"/>
      <c r="DPH129" s="18"/>
      <c r="DPI129" s="18"/>
      <c r="DPJ129" s="18"/>
      <c r="DPK129" s="18"/>
      <c r="DPL129" s="18"/>
      <c r="DPM129" s="18"/>
      <c r="DPN129" s="18"/>
      <c r="DPO129" s="18"/>
      <c r="DPP129" s="18"/>
      <c r="DPQ129" s="18"/>
      <c r="DPR129" s="18"/>
      <c r="DPS129" s="18"/>
      <c r="DPT129" s="18"/>
      <c r="DPU129" s="18"/>
      <c r="DPV129" s="18"/>
      <c r="DPW129" s="18"/>
      <c r="DPX129" s="18"/>
      <c r="DPY129" s="18"/>
      <c r="DPZ129" s="18"/>
      <c r="DQA129" s="18"/>
      <c r="DQB129" s="18"/>
      <c r="DQC129" s="18"/>
      <c r="DQD129" s="18"/>
      <c r="DQE129" s="18"/>
      <c r="DQF129" s="18"/>
      <c r="DQG129" s="18"/>
      <c r="DQH129" s="18"/>
      <c r="DQI129" s="18"/>
      <c r="DQJ129" s="18"/>
      <c r="DQK129" s="18"/>
      <c r="DQL129" s="18"/>
      <c r="DQM129" s="18"/>
      <c r="DQN129" s="18"/>
      <c r="DQO129" s="18"/>
      <c r="DQP129" s="18"/>
      <c r="DQQ129" s="18"/>
      <c r="DQR129" s="18"/>
      <c r="DQS129" s="18"/>
      <c r="DQT129" s="18"/>
      <c r="DQU129" s="18"/>
      <c r="DQV129" s="18"/>
      <c r="DQW129" s="18"/>
      <c r="DQX129" s="18"/>
      <c r="DQY129" s="18"/>
      <c r="DQZ129" s="18"/>
      <c r="DRA129" s="18"/>
      <c r="DRB129" s="18"/>
      <c r="DRC129" s="18"/>
      <c r="DRD129" s="18"/>
      <c r="DRE129" s="18"/>
      <c r="DRF129" s="18"/>
      <c r="DRG129" s="18"/>
      <c r="DRH129" s="18"/>
      <c r="DRI129" s="18"/>
      <c r="DRJ129" s="18"/>
      <c r="DRK129" s="18"/>
      <c r="DRL129" s="18"/>
      <c r="DRM129" s="18"/>
      <c r="DRN129" s="18"/>
      <c r="DRO129" s="18"/>
      <c r="DRP129" s="18"/>
      <c r="DRQ129" s="18"/>
      <c r="DRR129" s="18"/>
      <c r="DRS129" s="18"/>
      <c r="DRT129" s="18"/>
      <c r="DRU129" s="18"/>
      <c r="DRV129" s="18"/>
      <c r="DRW129" s="18"/>
      <c r="DRX129" s="18"/>
      <c r="DRY129" s="18"/>
      <c r="DRZ129" s="18"/>
      <c r="DSA129" s="18"/>
      <c r="DSB129" s="18"/>
      <c r="DSC129" s="18"/>
      <c r="DSD129" s="18"/>
      <c r="DSE129" s="18"/>
      <c r="DSF129" s="18"/>
      <c r="DSG129" s="18"/>
      <c r="DSH129" s="18"/>
      <c r="DSI129" s="18"/>
      <c r="DSJ129" s="18"/>
      <c r="DSK129" s="18"/>
      <c r="DSL129" s="18"/>
      <c r="DSM129" s="18"/>
      <c r="DSN129" s="18"/>
      <c r="DSO129" s="18"/>
      <c r="DSP129" s="18"/>
      <c r="DSQ129" s="18"/>
      <c r="DSR129" s="18"/>
      <c r="DSS129" s="18"/>
      <c r="DST129" s="18"/>
      <c r="DSU129" s="18"/>
      <c r="DSV129" s="18"/>
      <c r="DSW129" s="18"/>
      <c r="DSX129" s="18"/>
      <c r="DSY129" s="18"/>
      <c r="DSZ129" s="18"/>
      <c r="DTA129" s="18"/>
      <c r="DTB129" s="18"/>
      <c r="DTC129" s="18"/>
      <c r="DTD129" s="18"/>
      <c r="DTE129" s="18"/>
      <c r="DTF129" s="18"/>
      <c r="DTG129" s="18"/>
      <c r="DTH129" s="18"/>
      <c r="DTI129" s="18"/>
      <c r="DTJ129" s="18"/>
      <c r="DTK129" s="18"/>
      <c r="DTL129" s="18"/>
      <c r="DTM129" s="18"/>
      <c r="DTN129" s="18"/>
      <c r="DTO129" s="18"/>
      <c r="DTP129" s="18"/>
      <c r="DTQ129" s="18"/>
      <c r="DTR129" s="18"/>
      <c r="DTS129" s="18"/>
      <c r="DTT129" s="18"/>
      <c r="DTU129" s="18"/>
      <c r="DTV129" s="18"/>
      <c r="DTW129" s="18"/>
      <c r="DTX129" s="18"/>
      <c r="DTY129" s="18"/>
      <c r="DTZ129" s="18"/>
      <c r="DUA129" s="18"/>
      <c r="DUB129" s="18"/>
      <c r="DUC129" s="18"/>
      <c r="DUD129" s="18"/>
      <c r="DUE129" s="18"/>
      <c r="DUF129" s="18"/>
      <c r="DUG129" s="18"/>
      <c r="DUH129" s="18"/>
      <c r="DUI129" s="18"/>
      <c r="DUJ129" s="18"/>
      <c r="DUK129" s="18"/>
      <c r="DUL129" s="18"/>
      <c r="DUM129" s="18"/>
      <c r="DUN129" s="18"/>
      <c r="DUO129" s="18"/>
      <c r="DUP129" s="18"/>
      <c r="DUQ129" s="18"/>
      <c r="DUR129" s="18"/>
      <c r="DUS129" s="18"/>
      <c r="DUT129" s="18"/>
      <c r="DUU129" s="18"/>
      <c r="DUV129" s="18"/>
      <c r="DUW129" s="18"/>
      <c r="DUX129" s="18"/>
      <c r="DUY129" s="18"/>
      <c r="DUZ129" s="18"/>
      <c r="DVA129" s="18"/>
      <c r="DVB129" s="18"/>
      <c r="DVC129" s="18"/>
      <c r="DVD129" s="18"/>
      <c r="DVE129" s="18"/>
      <c r="DVF129" s="18"/>
      <c r="DVG129" s="18"/>
      <c r="DVH129" s="18"/>
      <c r="DVI129" s="18"/>
      <c r="DVJ129" s="18"/>
      <c r="DVK129" s="18"/>
      <c r="DVL129" s="18"/>
      <c r="DVM129" s="18"/>
      <c r="DVN129" s="18"/>
      <c r="DVO129" s="18"/>
      <c r="DVP129" s="18"/>
      <c r="DVQ129" s="18"/>
      <c r="DVR129" s="18"/>
      <c r="DVS129" s="18"/>
      <c r="DVT129" s="18"/>
      <c r="DVU129" s="18"/>
      <c r="DVV129" s="18"/>
      <c r="DVW129" s="18"/>
      <c r="DVX129" s="18"/>
      <c r="DVY129" s="18"/>
      <c r="DVZ129" s="18"/>
      <c r="DWA129" s="18"/>
      <c r="DWB129" s="18"/>
      <c r="DWC129" s="18"/>
      <c r="DWD129" s="18"/>
      <c r="DWE129" s="18"/>
      <c r="DWF129" s="18"/>
      <c r="DWG129" s="18"/>
      <c r="DWH129" s="18"/>
      <c r="DWI129" s="18"/>
      <c r="DWJ129" s="18"/>
      <c r="DWK129" s="18"/>
      <c r="DWL129" s="18"/>
      <c r="DWM129" s="18"/>
      <c r="DWN129" s="18"/>
      <c r="DWO129" s="18"/>
      <c r="DWP129" s="18"/>
      <c r="DWQ129" s="18"/>
      <c r="DWR129" s="18"/>
      <c r="DWS129" s="18"/>
      <c r="DWT129" s="18"/>
      <c r="DWU129" s="18"/>
      <c r="DWV129" s="18"/>
      <c r="DWW129" s="18"/>
      <c r="DWX129" s="18"/>
      <c r="DWY129" s="18"/>
      <c r="DWZ129" s="18"/>
      <c r="DXA129" s="18"/>
      <c r="DXB129" s="18"/>
      <c r="DXC129" s="18"/>
      <c r="DXD129" s="18"/>
      <c r="DXE129" s="18"/>
      <c r="DXF129" s="18"/>
      <c r="DXG129" s="18"/>
      <c r="DXH129" s="18"/>
      <c r="DXI129" s="18"/>
      <c r="DXJ129" s="18"/>
      <c r="DXK129" s="18"/>
      <c r="DXL129" s="18"/>
      <c r="DXM129" s="18"/>
      <c r="DXN129" s="18"/>
      <c r="DXO129" s="18"/>
      <c r="DXP129" s="18"/>
      <c r="DXQ129" s="18"/>
      <c r="DXR129" s="18"/>
      <c r="DXS129" s="18"/>
      <c r="DXT129" s="18"/>
      <c r="DXU129" s="18"/>
      <c r="DXV129" s="18"/>
      <c r="DXW129" s="18"/>
      <c r="DXX129" s="18"/>
      <c r="DXY129" s="18"/>
      <c r="DXZ129" s="18"/>
      <c r="DYA129" s="18"/>
      <c r="DYB129" s="18"/>
      <c r="DYC129" s="18"/>
      <c r="DYD129" s="18"/>
      <c r="DYE129" s="18"/>
      <c r="DYF129" s="18"/>
      <c r="DYG129" s="18"/>
      <c r="DYH129" s="18"/>
      <c r="DYI129" s="18"/>
      <c r="DYJ129" s="18"/>
      <c r="DYK129" s="18"/>
      <c r="DYL129" s="18"/>
      <c r="DYM129" s="18"/>
      <c r="DYN129" s="18"/>
      <c r="DYO129" s="18"/>
      <c r="DYP129" s="18"/>
      <c r="DYQ129" s="18"/>
      <c r="DYR129" s="18"/>
      <c r="DYS129" s="18"/>
      <c r="DYT129" s="18"/>
      <c r="DYU129" s="18"/>
      <c r="DYV129" s="18"/>
      <c r="DYW129" s="18"/>
      <c r="DYX129" s="18"/>
      <c r="DYY129" s="18"/>
      <c r="DYZ129" s="18"/>
      <c r="DZA129" s="18"/>
      <c r="DZB129" s="18"/>
      <c r="DZC129" s="18"/>
      <c r="DZD129" s="18"/>
      <c r="DZE129" s="18"/>
      <c r="DZF129" s="18"/>
      <c r="DZG129" s="18"/>
      <c r="DZH129" s="18"/>
      <c r="DZI129" s="18"/>
      <c r="DZJ129" s="18"/>
      <c r="DZK129" s="18"/>
      <c r="DZL129" s="18"/>
      <c r="DZM129" s="18"/>
      <c r="DZN129" s="18"/>
      <c r="DZO129" s="18"/>
      <c r="DZP129" s="18"/>
      <c r="DZQ129" s="18"/>
      <c r="DZR129" s="18"/>
      <c r="DZS129" s="18"/>
      <c r="DZT129" s="18"/>
      <c r="DZU129" s="18"/>
      <c r="DZV129" s="18"/>
      <c r="DZW129" s="18"/>
      <c r="DZX129" s="18"/>
      <c r="DZY129" s="18"/>
      <c r="DZZ129" s="18"/>
      <c r="EAA129" s="18"/>
      <c r="EAB129" s="18"/>
      <c r="EAC129" s="18"/>
      <c r="EAD129" s="18"/>
      <c r="EAE129" s="18"/>
      <c r="EAF129" s="18"/>
      <c r="EAG129" s="18"/>
      <c r="EAH129" s="18"/>
      <c r="EAI129" s="18"/>
      <c r="EAJ129" s="18"/>
      <c r="EAK129" s="18"/>
      <c r="EAL129" s="18"/>
      <c r="EAM129" s="18"/>
      <c r="EAN129" s="18"/>
      <c r="EAO129" s="18"/>
      <c r="EAP129" s="18"/>
      <c r="EAQ129" s="18"/>
      <c r="EAR129" s="18"/>
      <c r="EAS129" s="18"/>
      <c r="EAT129" s="18"/>
      <c r="EAU129" s="18"/>
      <c r="EAV129" s="18"/>
      <c r="EAW129" s="18"/>
      <c r="EAX129" s="18"/>
      <c r="EAY129" s="18"/>
      <c r="EAZ129" s="18"/>
      <c r="EBA129" s="18"/>
      <c r="EBB129" s="18"/>
      <c r="EBC129" s="18"/>
      <c r="EBD129" s="18"/>
      <c r="EBE129" s="18"/>
      <c r="EBF129" s="18"/>
      <c r="EBG129" s="18"/>
      <c r="EBH129" s="18"/>
      <c r="EBI129" s="18"/>
      <c r="EBJ129" s="18"/>
      <c r="EBK129" s="18"/>
      <c r="EBL129" s="18"/>
      <c r="EBM129" s="18"/>
      <c r="EBN129" s="18"/>
      <c r="EBO129" s="18"/>
      <c r="EBP129" s="18"/>
      <c r="EBQ129" s="18"/>
      <c r="EBR129" s="18"/>
      <c r="EBS129" s="18"/>
      <c r="EBT129" s="18"/>
      <c r="EBU129" s="18"/>
      <c r="EBV129" s="18"/>
      <c r="EBW129" s="18"/>
      <c r="EBX129" s="18"/>
      <c r="EBY129" s="18"/>
      <c r="EBZ129" s="18"/>
      <c r="ECA129" s="18"/>
      <c r="ECB129" s="18"/>
      <c r="ECC129" s="18"/>
      <c r="ECD129" s="18"/>
      <c r="ECE129" s="18"/>
      <c r="ECF129" s="18"/>
      <c r="ECG129" s="18"/>
      <c r="ECH129" s="18"/>
      <c r="ECI129" s="18"/>
      <c r="ECJ129" s="18"/>
      <c r="ECK129" s="18"/>
      <c r="ECL129" s="18"/>
      <c r="ECM129" s="18"/>
      <c r="ECN129" s="18"/>
      <c r="ECO129" s="18"/>
      <c r="ECP129" s="18"/>
      <c r="ECQ129" s="18"/>
      <c r="ECR129" s="18"/>
      <c r="ECS129" s="18"/>
      <c r="ECT129" s="18"/>
      <c r="ECU129" s="18"/>
      <c r="ECV129" s="18"/>
      <c r="ECW129" s="18"/>
      <c r="ECX129" s="18"/>
      <c r="ECY129" s="18"/>
      <c r="ECZ129" s="18"/>
      <c r="EDA129" s="18"/>
      <c r="EDB129" s="18"/>
      <c r="EDC129" s="18"/>
      <c r="EDD129" s="18"/>
      <c r="EDE129" s="18"/>
      <c r="EDF129" s="18"/>
      <c r="EDG129" s="18"/>
      <c r="EDH129" s="18"/>
      <c r="EDI129" s="18"/>
      <c r="EDJ129" s="18"/>
      <c r="EDK129" s="18"/>
      <c r="EDL129" s="18"/>
      <c r="EDM129" s="18"/>
      <c r="EDN129" s="18"/>
      <c r="EDO129" s="18"/>
      <c r="EDP129" s="18"/>
      <c r="EDQ129" s="18"/>
      <c r="EDR129" s="18"/>
      <c r="EDS129" s="18"/>
      <c r="EDT129" s="18"/>
      <c r="EDU129" s="18"/>
      <c r="EDV129" s="18"/>
      <c r="EDW129" s="18"/>
      <c r="EDX129" s="18"/>
      <c r="EDY129" s="18"/>
      <c r="EDZ129" s="18"/>
      <c r="EEA129" s="18"/>
      <c r="EEB129" s="18"/>
      <c r="EEC129" s="18"/>
      <c r="EED129" s="18"/>
      <c r="EEE129" s="18"/>
      <c r="EEF129" s="18"/>
      <c r="EEG129" s="18"/>
      <c r="EEH129" s="18"/>
      <c r="EEI129" s="18"/>
      <c r="EEJ129" s="18"/>
      <c r="EEK129" s="18"/>
      <c r="EEL129" s="18"/>
      <c r="EEM129" s="18"/>
      <c r="EEN129" s="18"/>
      <c r="EEO129" s="18"/>
      <c r="EEP129" s="18"/>
      <c r="EEQ129" s="18"/>
      <c r="EER129" s="18"/>
      <c r="EES129" s="18"/>
      <c r="EET129" s="18"/>
      <c r="EEU129" s="18"/>
      <c r="EEV129" s="18"/>
      <c r="EEW129" s="18"/>
      <c r="EEX129" s="18"/>
      <c r="EEY129" s="18"/>
      <c r="EEZ129" s="18"/>
      <c r="EFA129" s="18"/>
      <c r="EFB129" s="18"/>
      <c r="EFC129" s="18"/>
      <c r="EFD129" s="18"/>
      <c r="EFE129" s="18"/>
      <c r="EFF129" s="18"/>
      <c r="EFG129" s="18"/>
      <c r="EFH129" s="18"/>
      <c r="EFI129" s="18"/>
      <c r="EFJ129" s="18"/>
      <c r="EFK129" s="18"/>
      <c r="EFL129" s="18"/>
      <c r="EFM129" s="18"/>
      <c r="EFN129" s="18"/>
      <c r="EFO129" s="18"/>
      <c r="EFP129" s="18"/>
      <c r="EFQ129" s="18"/>
      <c r="EFR129" s="18"/>
      <c r="EFS129" s="18"/>
      <c r="EFT129" s="18"/>
      <c r="EFU129" s="18"/>
      <c r="EFV129" s="18"/>
      <c r="EFW129" s="18"/>
      <c r="EFX129" s="18"/>
      <c r="EFY129" s="18"/>
      <c r="EFZ129" s="18"/>
      <c r="EGA129" s="18"/>
      <c r="EGB129" s="18"/>
      <c r="EGC129" s="18"/>
      <c r="EGD129" s="18"/>
      <c r="EGE129" s="18"/>
      <c r="EGF129" s="18"/>
      <c r="EGG129" s="18"/>
      <c r="EGH129" s="18"/>
      <c r="EGI129" s="18"/>
      <c r="EGJ129" s="18"/>
      <c r="EGK129" s="18"/>
      <c r="EGL129" s="18"/>
      <c r="EGM129" s="18"/>
      <c r="EGN129" s="18"/>
      <c r="EGO129" s="18"/>
      <c r="EGP129" s="18"/>
      <c r="EGQ129" s="18"/>
      <c r="EGR129" s="18"/>
      <c r="EGS129" s="18"/>
      <c r="EGT129" s="18"/>
      <c r="EGU129" s="18"/>
      <c r="EGV129" s="18"/>
      <c r="EGW129" s="18"/>
      <c r="EGX129" s="18"/>
      <c r="EGY129" s="18"/>
      <c r="EGZ129" s="18"/>
      <c r="EHA129" s="18"/>
      <c r="EHB129" s="18"/>
      <c r="EHC129" s="18"/>
      <c r="EHD129" s="18"/>
      <c r="EHE129" s="18"/>
      <c r="EHF129" s="18"/>
      <c r="EHG129" s="18"/>
      <c r="EHH129" s="18"/>
      <c r="EHI129" s="18"/>
      <c r="EHJ129" s="18"/>
      <c r="EHK129" s="18"/>
      <c r="EHL129" s="18"/>
      <c r="EHM129" s="18"/>
      <c r="EHN129" s="18"/>
      <c r="EHO129" s="18"/>
      <c r="EHP129" s="18"/>
      <c r="EHQ129" s="18"/>
      <c r="EHR129" s="18"/>
      <c r="EHS129" s="18"/>
      <c r="EHT129" s="18"/>
      <c r="EHU129" s="18"/>
      <c r="EHV129" s="18"/>
      <c r="EHW129" s="18"/>
      <c r="EHX129" s="18"/>
      <c r="EHY129" s="18"/>
      <c r="EHZ129" s="18"/>
      <c r="EIA129" s="18"/>
      <c r="EIB129" s="18"/>
      <c r="EIC129" s="18"/>
      <c r="EID129" s="18"/>
      <c r="EIE129" s="18"/>
      <c r="EIF129" s="18"/>
      <c r="EIG129" s="18"/>
      <c r="EIH129" s="18"/>
      <c r="EII129" s="18"/>
      <c r="EIJ129" s="18"/>
      <c r="EIK129" s="18"/>
      <c r="EIL129" s="18"/>
      <c r="EIM129" s="18"/>
      <c r="EIN129" s="18"/>
      <c r="EIO129" s="18"/>
      <c r="EIP129" s="18"/>
      <c r="EIQ129" s="18"/>
      <c r="EIR129" s="18"/>
      <c r="EIS129" s="18"/>
      <c r="EIT129" s="18"/>
      <c r="EIU129" s="18"/>
      <c r="EIV129" s="18"/>
      <c r="EIW129" s="18"/>
      <c r="EIX129" s="18"/>
      <c r="EIY129" s="18"/>
      <c r="EIZ129" s="18"/>
      <c r="EJA129" s="18"/>
      <c r="EJB129" s="18"/>
      <c r="EJC129" s="18"/>
      <c r="EJD129" s="18"/>
      <c r="EJE129" s="18"/>
      <c r="EJF129" s="18"/>
      <c r="EJG129" s="18"/>
      <c r="EJH129" s="18"/>
      <c r="EJI129" s="18"/>
      <c r="EJJ129" s="18"/>
      <c r="EJK129" s="18"/>
      <c r="EJL129" s="18"/>
      <c r="EJM129" s="18"/>
      <c r="EJN129" s="18"/>
      <c r="EJO129" s="18"/>
      <c r="EJP129" s="18"/>
      <c r="EJQ129" s="18"/>
      <c r="EJR129" s="18"/>
      <c r="EJS129" s="18"/>
      <c r="EJT129" s="18"/>
      <c r="EJU129" s="18"/>
      <c r="EJV129" s="18"/>
      <c r="EJW129" s="18"/>
      <c r="EJX129" s="18"/>
      <c r="EJY129" s="18"/>
      <c r="EJZ129" s="18"/>
      <c r="EKA129" s="18"/>
      <c r="EKB129" s="18"/>
      <c r="EKC129" s="18"/>
      <c r="EKD129" s="18"/>
      <c r="EKE129" s="18"/>
      <c r="EKF129" s="18"/>
      <c r="EKG129" s="18"/>
      <c r="EKH129" s="18"/>
      <c r="EKI129" s="18"/>
      <c r="EKJ129" s="18"/>
      <c r="EKK129" s="18"/>
      <c r="EKL129" s="18"/>
      <c r="EKM129" s="18"/>
      <c r="EKN129" s="18"/>
      <c r="EKO129" s="18"/>
      <c r="EKP129" s="18"/>
      <c r="EKQ129" s="18"/>
      <c r="EKR129" s="18"/>
      <c r="EKS129" s="18"/>
      <c r="EKT129" s="18"/>
      <c r="EKU129" s="18"/>
      <c r="EKV129" s="18"/>
      <c r="EKW129" s="18"/>
      <c r="EKX129" s="18"/>
      <c r="EKY129" s="18"/>
      <c r="EKZ129" s="18"/>
      <c r="ELA129" s="18"/>
      <c r="ELB129" s="18"/>
      <c r="ELC129" s="18"/>
      <c r="ELD129" s="18"/>
      <c r="ELE129" s="18"/>
      <c r="ELF129" s="18"/>
      <c r="ELG129" s="18"/>
      <c r="ELH129" s="18"/>
      <c r="ELI129" s="18"/>
      <c r="ELJ129" s="18"/>
      <c r="ELK129" s="18"/>
      <c r="ELL129" s="18"/>
      <c r="ELM129" s="18"/>
      <c r="ELN129" s="18"/>
      <c r="ELO129" s="18"/>
      <c r="ELP129" s="18"/>
      <c r="ELQ129" s="18"/>
      <c r="ELR129" s="18"/>
      <c r="ELS129" s="18"/>
      <c r="ELT129" s="18"/>
      <c r="ELU129" s="18"/>
      <c r="ELV129" s="18"/>
      <c r="ELW129" s="18"/>
      <c r="ELX129" s="18"/>
      <c r="ELY129" s="18"/>
      <c r="ELZ129" s="18"/>
      <c r="EMA129" s="18"/>
      <c r="EMB129" s="18"/>
      <c r="EMC129" s="18"/>
      <c r="EMD129" s="18"/>
      <c r="EME129" s="18"/>
      <c r="EMF129" s="18"/>
      <c r="EMG129" s="18"/>
      <c r="EMH129" s="18"/>
      <c r="EMI129" s="18"/>
      <c r="EMJ129" s="18"/>
      <c r="EMK129" s="18"/>
      <c r="EML129" s="18"/>
      <c r="EMM129" s="18"/>
      <c r="EMN129" s="18"/>
      <c r="EMO129" s="18"/>
      <c r="EMP129" s="18"/>
      <c r="EMQ129" s="18"/>
      <c r="EMR129" s="18"/>
      <c r="EMS129" s="18"/>
      <c r="EMT129" s="18"/>
      <c r="EMU129" s="18"/>
      <c r="EMV129" s="18"/>
      <c r="EMW129" s="18"/>
      <c r="EMX129" s="18"/>
      <c r="EMY129" s="18"/>
      <c r="EMZ129" s="18"/>
      <c r="ENA129" s="18"/>
      <c r="ENB129" s="18"/>
      <c r="ENC129" s="18"/>
      <c r="END129" s="18"/>
      <c r="ENE129" s="18"/>
      <c r="ENF129" s="18"/>
      <c r="ENG129" s="18"/>
      <c r="ENH129" s="18"/>
      <c r="ENI129" s="18"/>
      <c r="ENJ129" s="18"/>
      <c r="ENK129" s="18"/>
      <c r="ENL129" s="18"/>
      <c r="ENM129" s="18"/>
      <c r="ENN129" s="18"/>
      <c r="ENO129" s="18"/>
      <c r="ENP129" s="18"/>
      <c r="ENQ129" s="18"/>
      <c r="ENR129" s="18"/>
      <c r="ENS129" s="18"/>
      <c r="ENT129" s="18"/>
      <c r="ENU129" s="18"/>
      <c r="ENV129" s="18"/>
      <c r="ENW129" s="18"/>
      <c r="ENX129" s="18"/>
      <c r="ENY129" s="18"/>
      <c r="ENZ129" s="18"/>
      <c r="EOA129" s="18"/>
      <c r="EOB129" s="18"/>
      <c r="EOC129" s="18"/>
      <c r="EOD129" s="18"/>
      <c r="EOE129" s="18"/>
      <c r="EOF129" s="18"/>
      <c r="EOG129" s="18"/>
      <c r="EOH129" s="18"/>
      <c r="EOI129" s="18"/>
      <c r="EOJ129" s="18"/>
      <c r="EOK129" s="18"/>
      <c r="EOL129" s="18"/>
      <c r="EOM129" s="18"/>
      <c r="EON129" s="18"/>
      <c r="EOO129" s="18"/>
      <c r="EOP129" s="18"/>
      <c r="EOQ129" s="18"/>
      <c r="EOR129" s="18"/>
      <c r="EOS129" s="18"/>
      <c r="EOT129" s="18"/>
      <c r="EOU129" s="18"/>
      <c r="EOV129" s="18"/>
      <c r="EOW129" s="18"/>
      <c r="EOX129" s="18"/>
      <c r="EOY129" s="18"/>
      <c r="EOZ129" s="18"/>
      <c r="EPA129" s="18"/>
      <c r="EPB129" s="18"/>
      <c r="EPC129" s="18"/>
      <c r="EPD129" s="18"/>
      <c r="EPE129" s="18"/>
      <c r="EPF129" s="18"/>
      <c r="EPG129" s="18"/>
      <c r="EPH129" s="18"/>
      <c r="EPI129" s="18"/>
      <c r="EPJ129" s="18"/>
      <c r="EPK129" s="18"/>
      <c r="EPL129" s="18"/>
      <c r="EPM129" s="18"/>
      <c r="EPN129" s="18"/>
      <c r="EPO129" s="18"/>
      <c r="EPP129" s="18"/>
      <c r="EPQ129" s="18"/>
      <c r="EPR129" s="18"/>
      <c r="EPS129" s="18"/>
      <c r="EPT129" s="18"/>
      <c r="EPU129" s="18"/>
      <c r="EPV129" s="18"/>
      <c r="EPW129" s="18"/>
      <c r="EPX129" s="18"/>
      <c r="EPY129" s="18"/>
      <c r="EPZ129" s="18"/>
      <c r="EQA129" s="18"/>
      <c r="EQB129" s="18"/>
      <c r="EQC129" s="18"/>
      <c r="EQD129" s="18"/>
      <c r="EQE129" s="18"/>
      <c r="EQF129" s="18"/>
      <c r="EQG129" s="18"/>
      <c r="EQH129" s="18"/>
      <c r="EQI129" s="18"/>
      <c r="EQJ129" s="18"/>
      <c r="EQK129" s="18"/>
      <c r="EQL129" s="18"/>
      <c r="EQM129" s="18"/>
      <c r="EQN129" s="18"/>
      <c r="EQO129" s="18"/>
      <c r="EQP129" s="18"/>
      <c r="EQQ129" s="18"/>
      <c r="EQR129" s="18"/>
      <c r="EQS129" s="18"/>
      <c r="EQT129" s="18"/>
      <c r="EQU129" s="18"/>
      <c r="EQV129" s="18"/>
      <c r="EQW129" s="18"/>
      <c r="EQX129" s="18"/>
      <c r="EQY129" s="18"/>
      <c r="EQZ129" s="18"/>
      <c r="ERA129" s="18"/>
      <c r="ERB129" s="18"/>
      <c r="ERC129" s="18"/>
      <c r="ERD129" s="18"/>
      <c r="ERE129" s="18"/>
      <c r="ERF129" s="18"/>
      <c r="ERG129" s="18"/>
      <c r="ERH129" s="18"/>
      <c r="ERI129" s="18"/>
      <c r="ERJ129" s="18"/>
      <c r="ERK129" s="18"/>
      <c r="ERL129" s="18"/>
      <c r="ERM129" s="18"/>
      <c r="ERN129" s="18"/>
      <c r="ERO129" s="18"/>
      <c r="ERP129" s="18"/>
      <c r="ERQ129" s="18"/>
      <c r="ERR129" s="18"/>
      <c r="ERS129" s="18"/>
      <c r="ERT129" s="18"/>
      <c r="ERU129" s="18"/>
      <c r="ERV129" s="18"/>
      <c r="ERW129" s="18"/>
      <c r="ERX129" s="18"/>
      <c r="ERY129" s="18"/>
      <c r="ERZ129" s="18"/>
      <c r="ESA129" s="18"/>
      <c r="ESB129" s="18"/>
      <c r="ESC129" s="18"/>
      <c r="ESD129" s="18"/>
      <c r="ESE129" s="18"/>
      <c r="ESF129" s="18"/>
      <c r="ESG129" s="18"/>
      <c r="ESH129" s="18"/>
      <c r="ESI129" s="18"/>
      <c r="ESJ129" s="18"/>
      <c r="ESK129" s="18"/>
      <c r="ESL129" s="18"/>
      <c r="ESM129" s="18"/>
      <c r="ESN129" s="18"/>
      <c r="ESO129" s="18"/>
      <c r="ESP129" s="18"/>
      <c r="ESQ129" s="18"/>
      <c r="ESR129" s="18"/>
      <c r="ESS129" s="18"/>
      <c r="EST129" s="18"/>
      <c r="ESU129" s="18"/>
      <c r="ESV129" s="18"/>
      <c r="ESW129" s="18"/>
      <c r="ESX129" s="18"/>
      <c r="ESY129" s="18"/>
      <c r="ESZ129" s="18"/>
      <c r="ETA129" s="18"/>
      <c r="ETB129" s="18"/>
      <c r="ETC129" s="18"/>
      <c r="ETD129" s="18"/>
      <c r="ETE129" s="18"/>
      <c r="ETF129" s="18"/>
      <c r="ETG129" s="18"/>
      <c r="ETH129" s="18"/>
      <c r="ETI129" s="18"/>
      <c r="ETJ129" s="18"/>
      <c r="ETK129" s="18"/>
      <c r="ETL129" s="18"/>
      <c r="ETM129" s="18"/>
      <c r="ETN129" s="18"/>
      <c r="ETO129" s="18"/>
      <c r="ETP129" s="18"/>
      <c r="ETQ129" s="18"/>
      <c r="ETR129" s="18"/>
      <c r="ETS129" s="18"/>
      <c r="ETT129" s="18"/>
      <c r="ETU129" s="18"/>
      <c r="ETV129" s="18"/>
      <c r="ETW129" s="18"/>
      <c r="ETX129" s="18"/>
      <c r="ETY129" s="18"/>
      <c r="ETZ129" s="18"/>
      <c r="EUA129" s="18"/>
      <c r="EUB129" s="18"/>
      <c r="EUC129" s="18"/>
      <c r="EUD129" s="18"/>
      <c r="EUE129" s="18"/>
      <c r="EUF129" s="18"/>
      <c r="EUG129" s="18"/>
      <c r="EUH129" s="18"/>
      <c r="EUI129" s="18"/>
      <c r="EUJ129" s="18"/>
      <c r="EUK129" s="18"/>
      <c r="EUL129" s="18"/>
      <c r="EUM129" s="18"/>
      <c r="EUN129" s="18"/>
      <c r="EUO129" s="18"/>
      <c r="EUP129" s="18"/>
      <c r="EUQ129" s="18"/>
      <c r="EUR129" s="18"/>
      <c r="EUS129" s="18"/>
      <c r="EUT129" s="18"/>
      <c r="EUU129" s="18"/>
      <c r="EUV129" s="18"/>
      <c r="EUW129" s="18"/>
      <c r="EUX129" s="18"/>
      <c r="EUY129" s="18"/>
      <c r="EUZ129" s="18"/>
      <c r="EVA129" s="18"/>
      <c r="EVB129" s="18"/>
      <c r="EVC129" s="18"/>
      <c r="EVD129" s="18"/>
      <c r="EVE129" s="18"/>
      <c r="EVF129" s="18"/>
      <c r="EVG129" s="18"/>
      <c r="EVH129" s="18"/>
      <c r="EVI129" s="18"/>
      <c r="EVJ129" s="18"/>
      <c r="EVK129" s="18"/>
      <c r="EVL129" s="18"/>
      <c r="EVM129" s="18"/>
      <c r="EVN129" s="18"/>
      <c r="EVO129" s="18"/>
      <c r="EVP129" s="18"/>
      <c r="EVQ129" s="18"/>
      <c r="EVR129" s="18"/>
      <c r="EVS129" s="18"/>
      <c r="EVT129" s="18"/>
      <c r="EVU129" s="18"/>
      <c r="EVV129" s="18"/>
      <c r="EVW129" s="18"/>
      <c r="EVX129" s="18"/>
      <c r="EVY129" s="18"/>
      <c r="EVZ129" s="18"/>
      <c r="EWA129" s="18"/>
      <c r="EWB129" s="18"/>
      <c r="EWC129" s="18"/>
      <c r="EWD129" s="18"/>
      <c r="EWE129" s="18"/>
      <c r="EWF129" s="18"/>
      <c r="EWG129" s="18"/>
      <c r="EWH129" s="18"/>
      <c r="EWI129" s="18"/>
      <c r="EWJ129" s="18"/>
      <c r="EWK129" s="18"/>
      <c r="EWL129" s="18"/>
      <c r="EWM129" s="18"/>
      <c r="EWN129" s="18"/>
      <c r="EWO129" s="18"/>
      <c r="EWP129" s="18"/>
      <c r="EWQ129" s="18"/>
      <c r="EWR129" s="18"/>
      <c r="EWS129" s="18"/>
      <c r="EWT129" s="18"/>
      <c r="EWU129" s="18"/>
      <c r="EWV129" s="18"/>
      <c r="EWW129" s="18"/>
      <c r="EWX129" s="18"/>
      <c r="EWY129" s="18"/>
      <c r="EWZ129" s="18"/>
      <c r="EXA129" s="18"/>
      <c r="EXB129" s="18"/>
      <c r="EXC129" s="18"/>
      <c r="EXD129" s="18"/>
      <c r="EXE129" s="18"/>
      <c r="EXF129" s="18"/>
      <c r="EXG129" s="18"/>
      <c r="EXH129" s="18"/>
      <c r="EXI129" s="18"/>
      <c r="EXJ129" s="18"/>
      <c r="EXK129" s="18"/>
      <c r="EXL129" s="18"/>
      <c r="EXM129" s="18"/>
      <c r="EXN129" s="18"/>
      <c r="EXO129" s="18"/>
      <c r="EXP129" s="18"/>
      <c r="EXQ129" s="18"/>
      <c r="EXR129" s="18"/>
      <c r="EXS129" s="18"/>
      <c r="EXT129" s="18"/>
      <c r="EXU129" s="18"/>
      <c r="EXV129" s="18"/>
      <c r="EXW129" s="18"/>
      <c r="EXX129" s="18"/>
      <c r="EXY129" s="18"/>
      <c r="EXZ129" s="18"/>
      <c r="EYA129" s="18"/>
      <c r="EYB129" s="18"/>
      <c r="EYC129" s="18"/>
      <c r="EYD129" s="18"/>
      <c r="EYE129" s="18"/>
      <c r="EYF129" s="18"/>
      <c r="EYG129" s="18"/>
      <c r="EYH129" s="18"/>
      <c r="EYI129" s="18"/>
      <c r="EYJ129" s="18"/>
      <c r="EYK129" s="18"/>
      <c r="EYL129" s="18"/>
      <c r="EYM129" s="18"/>
      <c r="EYN129" s="18"/>
      <c r="EYO129" s="18"/>
      <c r="EYP129" s="18"/>
      <c r="EYQ129" s="18"/>
      <c r="EYR129" s="18"/>
      <c r="EYS129" s="18"/>
      <c r="EYT129" s="18"/>
      <c r="EYU129" s="18"/>
      <c r="EYV129" s="18"/>
      <c r="EYW129" s="18"/>
      <c r="EYX129" s="18"/>
      <c r="EYY129" s="18"/>
      <c r="EYZ129" s="18"/>
      <c r="EZA129" s="18"/>
      <c r="EZB129" s="18"/>
      <c r="EZC129" s="18"/>
      <c r="EZD129" s="18"/>
      <c r="EZE129" s="18"/>
      <c r="EZF129" s="18"/>
      <c r="EZG129" s="18"/>
      <c r="EZH129" s="18"/>
      <c r="EZI129" s="18"/>
      <c r="EZJ129" s="18"/>
      <c r="EZK129" s="18"/>
      <c r="EZL129" s="18"/>
      <c r="EZM129" s="18"/>
      <c r="EZN129" s="18"/>
      <c r="EZO129" s="18"/>
      <c r="EZP129" s="18"/>
      <c r="EZQ129" s="18"/>
      <c r="EZR129" s="18"/>
      <c r="EZS129" s="18"/>
      <c r="EZT129" s="18"/>
      <c r="EZU129" s="18"/>
      <c r="EZV129" s="18"/>
      <c r="EZW129" s="18"/>
      <c r="EZX129" s="18"/>
      <c r="EZY129" s="18"/>
      <c r="EZZ129" s="18"/>
      <c r="FAA129" s="18"/>
      <c r="FAB129" s="18"/>
      <c r="FAC129" s="18"/>
      <c r="FAD129" s="18"/>
      <c r="FAE129" s="18"/>
      <c r="FAF129" s="18"/>
      <c r="FAG129" s="18"/>
      <c r="FAH129" s="18"/>
      <c r="FAI129" s="18"/>
      <c r="FAJ129" s="18"/>
      <c r="FAK129" s="18"/>
      <c r="FAL129" s="18"/>
      <c r="FAM129" s="18"/>
      <c r="FAN129" s="18"/>
      <c r="FAO129" s="18"/>
      <c r="FAP129" s="18"/>
      <c r="FAQ129" s="18"/>
      <c r="FAR129" s="18"/>
      <c r="FAS129" s="18"/>
      <c r="FAT129" s="18"/>
      <c r="FAU129" s="18"/>
      <c r="FAV129" s="18"/>
      <c r="FAW129" s="18"/>
      <c r="FAX129" s="18"/>
      <c r="FAY129" s="18"/>
      <c r="FAZ129" s="18"/>
      <c r="FBA129" s="18"/>
      <c r="FBB129" s="18"/>
      <c r="FBC129" s="18"/>
      <c r="FBD129" s="18"/>
      <c r="FBE129" s="18"/>
      <c r="FBF129" s="18"/>
      <c r="FBG129" s="18"/>
      <c r="FBH129" s="18"/>
      <c r="FBI129" s="18"/>
      <c r="FBJ129" s="18"/>
      <c r="FBK129" s="18"/>
      <c r="FBL129" s="18"/>
      <c r="FBM129" s="18"/>
      <c r="FBN129" s="18"/>
      <c r="FBO129" s="18"/>
      <c r="FBP129" s="18"/>
      <c r="FBQ129" s="18"/>
      <c r="FBR129" s="18"/>
      <c r="FBS129" s="18"/>
      <c r="FBT129" s="18"/>
      <c r="FBU129" s="18"/>
      <c r="FBV129" s="18"/>
      <c r="FBW129" s="18"/>
      <c r="FBX129" s="18"/>
      <c r="FBY129" s="18"/>
      <c r="FBZ129" s="18"/>
      <c r="FCA129" s="18"/>
      <c r="FCB129" s="18"/>
      <c r="FCC129" s="18"/>
      <c r="FCD129" s="18"/>
      <c r="FCE129" s="18"/>
      <c r="FCF129" s="18"/>
      <c r="FCG129" s="18"/>
      <c r="FCH129" s="18"/>
      <c r="FCI129" s="18"/>
      <c r="FCJ129" s="18"/>
      <c r="FCK129" s="18"/>
      <c r="FCL129" s="18"/>
      <c r="FCM129" s="18"/>
      <c r="FCN129" s="18"/>
      <c r="FCO129" s="18"/>
      <c r="FCP129" s="18"/>
      <c r="FCQ129" s="18"/>
      <c r="FCR129" s="18"/>
      <c r="FCS129" s="18"/>
      <c r="FCT129" s="18"/>
      <c r="FCU129" s="18"/>
      <c r="FCV129" s="18"/>
      <c r="FCW129" s="18"/>
      <c r="FCX129" s="18"/>
      <c r="FCY129" s="18"/>
      <c r="FCZ129" s="18"/>
      <c r="FDA129" s="18"/>
      <c r="FDB129" s="18"/>
      <c r="FDC129" s="18"/>
      <c r="FDD129" s="18"/>
      <c r="FDE129" s="18"/>
      <c r="FDF129" s="18"/>
      <c r="FDG129" s="18"/>
      <c r="FDH129" s="18"/>
      <c r="FDI129" s="18"/>
      <c r="FDJ129" s="18"/>
      <c r="FDK129" s="18"/>
      <c r="FDL129" s="18"/>
      <c r="FDM129" s="18"/>
      <c r="FDN129" s="18"/>
      <c r="FDO129" s="18"/>
      <c r="FDP129" s="18"/>
      <c r="FDQ129" s="18"/>
      <c r="FDR129" s="18"/>
      <c r="FDS129" s="18"/>
      <c r="FDT129" s="18"/>
      <c r="FDU129" s="18"/>
      <c r="FDV129" s="18"/>
      <c r="FDW129" s="18"/>
      <c r="FDX129" s="18"/>
      <c r="FDY129" s="18"/>
      <c r="FDZ129" s="18"/>
      <c r="FEA129" s="18"/>
      <c r="FEB129" s="18"/>
      <c r="FEC129" s="18"/>
      <c r="FED129" s="18"/>
      <c r="FEE129" s="18"/>
      <c r="FEF129" s="18"/>
      <c r="FEG129" s="18"/>
      <c r="FEH129" s="18"/>
      <c r="FEI129" s="18"/>
      <c r="FEJ129" s="18"/>
      <c r="FEK129" s="18"/>
      <c r="FEL129" s="18"/>
      <c r="FEM129" s="18"/>
      <c r="FEN129" s="18"/>
      <c r="FEO129" s="18"/>
      <c r="FEP129" s="18"/>
      <c r="FEQ129" s="18"/>
      <c r="FER129" s="18"/>
      <c r="FES129" s="18"/>
      <c r="FET129" s="18"/>
      <c r="FEU129" s="18"/>
      <c r="FEV129" s="18"/>
      <c r="FEW129" s="18"/>
      <c r="FEX129" s="18"/>
      <c r="FEY129" s="18"/>
      <c r="FEZ129" s="18"/>
      <c r="FFA129" s="18"/>
      <c r="FFB129" s="18"/>
      <c r="FFC129" s="18"/>
      <c r="FFD129" s="18"/>
      <c r="FFE129" s="18"/>
      <c r="FFF129" s="18"/>
      <c r="FFG129" s="18"/>
      <c r="FFH129" s="18"/>
      <c r="FFI129" s="18"/>
      <c r="FFJ129" s="18"/>
      <c r="FFK129" s="18"/>
      <c r="FFL129" s="18"/>
      <c r="FFM129" s="18"/>
      <c r="FFN129" s="18"/>
      <c r="FFO129" s="18"/>
      <c r="FFP129" s="18"/>
      <c r="FFQ129" s="18"/>
      <c r="FFR129" s="18"/>
      <c r="FFS129" s="18"/>
      <c r="FFT129" s="18"/>
      <c r="FFU129" s="18"/>
      <c r="FFV129" s="18"/>
      <c r="FFW129" s="18"/>
      <c r="FFX129" s="18"/>
      <c r="FFY129" s="18"/>
      <c r="FFZ129" s="18"/>
      <c r="FGA129" s="18"/>
      <c r="FGB129" s="18"/>
      <c r="FGC129" s="18"/>
      <c r="FGD129" s="18"/>
      <c r="FGE129" s="18"/>
      <c r="FGF129" s="18"/>
      <c r="FGG129" s="18"/>
      <c r="FGH129" s="18"/>
      <c r="FGI129" s="18"/>
      <c r="FGJ129" s="18"/>
      <c r="FGK129" s="18"/>
      <c r="FGL129" s="18"/>
      <c r="FGM129" s="18"/>
      <c r="FGN129" s="18"/>
      <c r="FGO129" s="18"/>
      <c r="FGP129" s="18"/>
      <c r="FGQ129" s="18"/>
      <c r="FGR129" s="18"/>
      <c r="FGS129" s="18"/>
      <c r="FGT129" s="18"/>
      <c r="FGU129" s="18"/>
      <c r="FGV129" s="18"/>
      <c r="FGW129" s="18"/>
      <c r="FGX129" s="18"/>
      <c r="FGY129" s="18"/>
      <c r="FGZ129" s="18"/>
      <c r="FHA129" s="18"/>
      <c r="FHB129" s="18"/>
      <c r="FHC129" s="18"/>
      <c r="FHD129" s="18"/>
      <c r="FHE129" s="18"/>
      <c r="FHF129" s="18"/>
      <c r="FHG129" s="18"/>
      <c r="FHH129" s="18"/>
      <c r="FHI129" s="18"/>
      <c r="FHJ129" s="18"/>
      <c r="FHK129" s="18"/>
      <c r="FHL129" s="18"/>
      <c r="FHM129" s="18"/>
      <c r="FHN129" s="18"/>
      <c r="FHO129" s="18"/>
      <c r="FHP129" s="18"/>
      <c r="FHQ129" s="18"/>
      <c r="FHR129" s="18"/>
      <c r="FHS129" s="18"/>
      <c r="FHT129" s="18"/>
      <c r="FHU129" s="18"/>
      <c r="FHV129" s="18"/>
      <c r="FHW129" s="18"/>
      <c r="FHX129" s="18"/>
      <c r="FHY129" s="18"/>
      <c r="FHZ129" s="18"/>
      <c r="FIA129" s="18"/>
      <c r="FIB129" s="18"/>
      <c r="FIC129" s="18"/>
      <c r="FID129" s="18"/>
      <c r="FIE129" s="18"/>
      <c r="FIF129" s="18"/>
      <c r="FIG129" s="18"/>
      <c r="FIH129" s="18"/>
      <c r="FII129" s="18"/>
      <c r="FIJ129" s="18"/>
      <c r="FIK129" s="18"/>
      <c r="FIL129" s="18"/>
      <c r="FIM129" s="18"/>
      <c r="FIN129" s="18"/>
      <c r="FIO129" s="18"/>
      <c r="FIP129" s="18"/>
      <c r="FIQ129" s="18"/>
      <c r="FIR129" s="18"/>
      <c r="FIS129" s="18"/>
      <c r="FIT129" s="18"/>
      <c r="FIU129" s="18"/>
      <c r="FIV129" s="18"/>
      <c r="FIW129" s="18"/>
      <c r="FIX129" s="18"/>
      <c r="FIY129" s="18"/>
      <c r="FIZ129" s="18"/>
      <c r="FJA129" s="18"/>
      <c r="FJB129" s="18"/>
      <c r="FJC129" s="18"/>
      <c r="FJD129" s="18"/>
      <c r="FJE129" s="18"/>
      <c r="FJF129" s="18"/>
      <c r="FJG129" s="18"/>
      <c r="FJH129" s="18"/>
      <c r="FJI129" s="18"/>
      <c r="FJJ129" s="18"/>
      <c r="FJK129" s="18"/>
      <c r="FJL129" s="18"/>
      <c r="FJM129" s="18"/>
      <c r="FJN129" s="18"/>
      <c r="FJO129" s="18"/>
      <c r="FJP129" s="18"/>
      <c r="FJQ129" s="18"/>
      <c r="FJR129" s="18"/>
      <c r="FJS129" s="18"/>
      <c r="FJT129" s="18"/>
      <c r="FJU129" s="18"/>
      <c r="FJV129" s="18"/>
      <c r="FJW129" s="18"/>
      <c r="FJX129" s="18"/>
      <c r="FJY129" s="18"/>
      <c r="FJZ129" s="18"/>
      <c r="FKA129" s="18"/>
      <c r="FKB129" s="18"/>
      <c r="FKC129" s="18"/>
      <c r="FKD129" s="18"/>
      <c r="FKE129" s="18"/>
      <c r="FKF129" s="18"/>
      <c r="FKG129" s="18"/>
      <c r="FKH129" s="18"/>
      <c r="FKI129" s="18"/>
      <c r="FKJ129" s="18"/>
      <c r="FKK129" s="18"/>
      <c r="FKL129" s="18"/>
      <c r="FKM129" s="18"/>
      <c r="FKN129" s="18"/>
      <c r="FKO129" s="18"/>
      <c r="FKP129" s="18"/>
      <c r="FKQ129" s="18"/>
      <c r="FKR129" s="18"/>
      <c r="FKS129" s="18"/>
      <c r="FKT129" s="18"/>
      <c r="FKU129" s="18"/>
      <c r="FKV129" s="18"/>
      <c r="FKW129" s="18"/>
      <c r="FKX129" s="18"/>
      <c r="FKY129" s="18"/>
      <c r="FKZ129" s="18"/>
      <c r="FLA129" s="18"/>
      <c r="FLB129" s="18"/>
      <c r="FLC129" s="18"/>
      <c r="FLD129" s="18"/>
      <c r="FLE129" s="18"/>
      <c r="FLF129" s="18"/>
      <c r="FLG129" s="18"/>
      <c r="FLH129" s="18"/>
      <c r="FLI129" s="18"/>
      <c r="FLJ129" s="18"/>
      <c r="FLK129" s="18"/>
      <c r="FLL129" s="18"/>
      <c r="FLM129" s="18"/>
      <c r="FLN129" s="18"/>
      <c r="FLO129" s="18"/>
      <c r="FLP129" s="18"/>
      <c r="FLQ129" s="18"/>
      <c r="FLR129" s="18"/>
      <c r="FLS129" s="18"/>
      <c r="FLT129" s="18"/>
      <c r="FLU129" s="18"/>
      <c r="FLV129" s="18"/>
      <c r="FLW129" s="18"/>
      <c r="FLX129" s="18"/>
      <c r="FLY129" s="18"/>
      <c r="FLZ129" s="18"/>
      <c r="FMA129" s="18"/>
      <c r="FMB129" s="18"/>
      <c r="FMC129" s="18"/>
      <c r="FMD129" s="18"/>
      <c r="FME129" s="18"/>
      <c r="FMF129" s="18"/>
      <c r="FMG129" s="18"/>
      <c r="FMH129" s="18"/>
      <c r="FMI129" s="18"/>
      <c r="FMJ129" s="18"/>
      <c r="FMK129" s="18"/>
      <c r="FML129" s="18"/>
      <c r="FMM129" s="18"/>
      <c r="FMN129" s="18"/>
      <c r="FMO129" s="18"/>
      <c r="FMP129" s="18"/>
      <c r="FMQ129" s="18"/>
      <c r="FMR129" s="18"/>
      <c r="FMS129" s="18"/>
      <c r="FMT129" s="18"/>
      <c r="FMU129" s="18"/>
      <c r="FMV129" s="18"/>
      <c r="FMW129" s="18"/>
      <c r="FMX129" s="18"/>
      <c r="FMY129" s="18"/>
      <c r="FMZ129" s="18"/>
      <c r="FNA129" s="18"/>
      <c r="FNB129" s="18"/>
      <c r="FNC129" s="18"/>
      <c r="FND129" s="18"/>
      <c r="FNE129" s="18"/>
      <c r="FNF129" s="18"/>
      <c r="FNG129" s="18"/>
      <c r="FNH129" s="18"/>
      <c r="FNI129" s="18"/>
      <c r="FNJ129" s="18"/>
      <c r="FNK129" s="18"/>
      <c r="FNL129" s="18"/>
      <c r="FNM129" s="18"/>
      <c r="FNN129" s="18"/>
      <c r="FNO129" s="18"/>
      <c r="FNP129" s="18"/>
      <c r="FNQ129" s="18"/>
      <c r="FNR129" s="18"/>
      <c r="FNS129" s="18"/>
      <c r="FNT129" s="18"/>
      <c r="FNU129" s="18"/>
      <c r="FNV129" s="18"/>
      <c r="FNW129" s="18"/>
      <c r="FNX129" s="18"/>
      <c r="FNY129" s="18"/>
      <c r="FNZ129" s="18"/>
      <c r="FOA129" s="18"/>
      <c r="FOB129" s="18"/>
      <c r="FOC129" s="18"/>
      <c r="FOD129" s="18"/>
      <c r="FOE129" s="18"/>
      <c r="FOF129" s="18"/>
      <c r="FOG129" s="18"/>
      <c r="FOH129" s="18"/>
      <c r="FOI129" s="18"/>
      <c r="FOJ129" s="18"/>
      <c r="FOK129" s="18"/>
      <c r="FOL129" s="18"/>
      <c r="FOM129" s="18"/>
      <c r="FON129" s="18"/>
      <c r="FOO129" s="18"/>
      <c r="FOP129" s="18"/>
      <c r="FOQ129" s="18"/>
      <c r="FOR129" s="18"/>
      <c r="FOS129" s="18"/>
      <c r="FOT129" s="18"/>
      <c r="FOU129" s="18"/>
      <c r="FOV129" s="18"/>
      <c r="FOW129" s="18"/>
      <c r="FOX129" s="18"/>
      <c r="FOY129" s="18"/>
      <c r="FOZ129" s="18"/>
      <c r="FPA129" s="18"/>
      <c r="FPB129" s="18"/>
      <c r="FPC129" s="18"/>
      <c r="FPD129" s="18"/>
      <c r="FPE129" s="18"/>
      <c r="FPF129" s="18"/>
      <c r="FPG129" s="18"/>
      <c r="FPH129" s="18"/>
      <c r="FPI129" s="18"/>
      <c r="FPJ129" s="18"/>
      <c r="FPK129" s="18"/>
      <c r="FPL129" s="18"/>
      <c r="FPM129" s="18"/>
      <c r="FPN129" s="18"/>
      <c r="FPO129" s="18"/>
      <c r="FPP129" s="18"/>
      <c r="FPQ129" s="18"/>
      <c r="FPR129" s="18"/>
      <c r="FPS129" s="18"/>
      <c r="FPT129" s="18"/>
      <c r="FPU129" s="18"/>
      <c r="FPV129" s="18"/>
      <c r="FPW129" s="18"/>
      <c r="FPX129" s="18"/>
      <c r="FPY129" s="18"/>
      <c r="FPZ129" s="18"/>
      <c r="FQA129" s="18"/>
      <c r="FQB129" s="18"/>
      <c r="FQC129" s="18"/>
      <c r="FQD129" s="18"/>
      <c r="FQE129" s="18"/>
      <c r="FQF129" s="18"/>
      <c r="FQG129" s="18"/>
      <c r="FQH129" s="18"/>
      <c r="FQI129" s="18"/>
      <c r="FQJ129" s="18"/>
      <c r="FQK129" s="18"/>
      <c r="FQL129" s="18"/>
      <c r="FQM129" s="18"/>
      <c r="FQN129" s="18"/>
      <c r="FQO129" s="18"/>
      <c r="FQP129" s="18"/>
      <c r="FQQ129" s="18"/>
      <c r="FQR129" s="18"/>
      <c r="FQS129" s="18"/>
      <c r="FQT129" s="18"/>
      <c r="FQU129" s="18"/>
      <c r="FQV129" s="18"/>
      <c r="FQW129" s="18"/>
      <c r="FQX129" s="18"/>
      <c r="FQY129" s="18"/>
      <c r="FQZ129" s="18"/>
      <c r="FRA129" s="18"/>
      <c r="FRB129" s="18"/>
      <c r="FRC129" s="18"/>
      <c r="FRD129" s="18"/>
      <c r="FRE129" s="18"/>
      <c r="FRF129" s="18"/>
      <c r="FRG129" s="18"/>
      <c r="FRH129" s="18"/>
      <c r="FRI129" s="18"/>
      <c r="FRJ129" s="18"/>
      <c r="FRK129" s="18"/>
      <c r="FRL129" s="18"/>
      <c r="FRM129" s="18"/>
      <c r="FRN129" s="18"/>
      <c r="FRO129" s="18"/>
      <c r="FRP129" s="18"/>
      <c r="FRQ129" s="18"/>
      <c r="FRR129" s="18"/>
      <c r="FRS129" s="18"/>
      <c r="FRT129" s="18"/>
      <c r="FRU129" s="18"/>
      <c r="FRV129" s="18"/>
      <c r="FRW129" s="18"/>
      <c r="FRX129" s="18"/>
      <c r="FRY129" s="18"/>
      <c r="FRZ129" s="18"/>
      <c r="FSA129" s="18"/>
      <c r="FSB129" s="18"/>
      <c r="FSC129" s="18"/>
      <c r="FSD129" s="18"/>
      <c r="FSE129" s="18"/>
      <c r="FSF129" s="18"/>
      <c r="FSG129" s="18"/>
      <c r="FSH129" s="18"/>
      <c r="FSI129" s="18"/>
      <c r="FSJ129" s="18"/>
      <c r="FSK129" s="18"/>
      <c r="FSL129" s="18"/>
      <c r="FSM129" s="18"/>
      <c r="FSN129" s="18"/>
      <c r="FSO129" s="18"/>
      <c r="FSP129" s="18"/>
      <c r="FSQ129" s="18"/>
      <c r="FSR129" s="18"/>
      <c r="FSS129" s="18"/>
      <c r="FST129" s="18"/>
      <c r="FSU129" s="18"/>
      <c r="FSV129" s="18"/>
      <c r="FSW129" s="18"/>
      <c r="FSX129" s="18"/>
      <c r="FSY129" s="18"/>
      <c r="FSZ129" s="18"/>
      <c r="FTA129" s="18"/>
      <c r="FTB129" s="18"/>
      <c r="FTC129" s="18"/>
      <c r="FTD129" s="18"/>
      <c r="FTE129" s="18"/>
      <c r="FTF129" s="18"/>
      <c r="FTG129" s="18"/>
      <c r="FTH129" s="18"/>
      <c r="FTI129" s="18"/>
      <c r="FTJ129" s="18"/>
      <c r="FTK129" s="18"/>
      <c r="FTL129" s="18"/>
      <c r="FTM129" s="18"/>
      <c r="FTN129" s="18"/>
      <c r="FTO129" s="18"/>
      <c r="FTP129" s="18"/>
      <c r="FTQ129" s="18"/>
      <c r="FTR129" s="18"/>
      <c r="FTS129" s="18"/>
      <c r="FTT129" s="18"/>
      <c r="FTU129" s="18"/>
      <c r="FTV129" s="18"/>
      <c r="FTW129" s="18"/>
      <c r="FTX129" s="18"/>
      <c r="FTY129" s="18"/>
      <c r="FTZ129" s="18"/>
      <c r="FUA129" s="18"/>
      <c r="FUB129" s="18"/>
      <c r="FUC129" s="18"/>
      <c r="FUD129" s="18"/>
      <c r="FUE129" s="18"/>
      <c r="FUF129" s="18"/>
      <c r="FUG129" s="18"/>
      <c r="FUH129" s="18"/>
      <c r="FUI129" s="18"/>
      <c r="FUJ129" s="18"/>
      <c r="FUK129" s="18"/>
      <c r="FUL129" s="18"/>
      <c r="FUM129" s="18"/>
      <c r="FUN129" s="18"/>
      <c r="FUO129" s="18"/>
      <c r="FUP129" s="18"/>
      <c r="FUQ129" s="18"/>
      <c r="FUR129" s="18"/>
      <c r="FUS129" s="18"/>
      <c r="FUT129" s="18"/>
      <c r="FUU129" s="18"/>
      <c r="FUV129" s="18"/>
      <c r="FUW129" s="18"/>
      <c r="FUX129" s="18"/>
      <c r="FUY129" s="18"/>
      <c r="FUZ129" s="18"/>
      <c r="FVA129" s="18"/>
      <c r="FVB129" s="18"/>
      <c r="FVC129" s="18"/>
      <c r="FVD129" s="18"/>
      <c r="FVE129" s="18"/>
      <c r="FVF129" s="18"/>
      <c r="FVG129" s="18"/>
      <c r="FVH129" s="18"/>
      <c r="FVI129" s="18"/>
      <c r="FVJ129" s="18"/>
      <c r="FVK129" s="18"/>
      <c r="FVL129" s="18"/>
      <c r="FVM129" s="18"/>
      <c r="FVN129" s="18"/>
      <c r="FVO129" s="18"/>
      <c r="FVP129" s="18"/>
      <c r="FVQ129" s="18"/>
      <c r="FVR129" s="18"/>
      <c r="FVS129" s="18"/>
      <c r="FVT129" s="18"/>
      <c r="FVU129" s="18"/>
      <c r="FVV129" s="18"/>
      <c r="FVW129" s="18"/>
      <c r="FVX129" s="18"/>
      <c r="FVY129" s="18"/>
      <c r="FVZ129" s="18"/>
      <c r="FWA129" s="18"/>
      <c r="FWB129" s="18"/>
      <c r="FWC129" s="18"/>
      <c r="FWD129" s="18"/>
      <c r="FWE129" s="18"/>
      <c r="FWF129" s="18"/>
      <c r="FWG129" s="18"/>
      <c r="FWH129" s="18"/>
      <c r="FWI129" s="18"/>
      <c r="FWJ129" s="18"/>
      <c r="FWK129" s="18"/>
      <c r="FWL129" s="18"/>
      <c r="FWM129" s="18"/>
      <c r="FWN129" s="18"/>
      <c r="FWO129" s="18"/>
      <c r="FWP129" s="18"/>
      <c r="FWQ129" s="18"/>
      <c r="FWR129" s="18"/>
      <c r="FWS129" s="18"/>
      <c r="FWT129" s="18"/>
      <c r="FWU129" s="18"/>
      <c r="FWV129" s="18"/>
      <c r="FWW129" s="18"/>
      <c r="FWX129" s="18"/>
      <c r="FWY129" s="18"/>
      <c r="FWZ129" s="18"/>
      <c r="FXA129" s="18"/>
      <c r="FXB129" s="18"/>
      <c r="FXC129" s="18"/>
      <c r="FXD129" s="18"/>
      <c r="FXE129" s="18"/>
      <c r="FXF129" s="18"/>
      <c r="FXG129" s="18"/>
      <c r="FXH129" s="18"/>
      <c r="FXI129" s="18"/>
      <c r="FXJ129" s="18"/>
      <c r="FXK129" s="18"/>
      <c r="FXL129" s="18"/>
      <c r="FXM129" s="18"/>
      <c r="FXN129" s="18"/>
      <c r="FXO129" s="18"/>
      <c r="FXP129" s="18"/>
      <c r="FXQ129" s="18"/>
      <c r="FXR129" s="18"/>
      <c r="FXS129" s="18"/>
      <c r="FXT129" s="18"/>
      <c r="FXU129" s="18"/>
      <c r="FXV129" s="18"/>
      <c r="FXW129" s="18"/>
      <c r="FXX129" s="18"/>
      <c r="FXY129" s="18"/>
      <c r="FXZ129" s="18"/>
      <c r="FYA129" s="18"/>
      <c r="FYB129" s="18"/>
      <c r="FYC129" s="18"/>
      <c r="FYD129" s="18"/>
      <c r="FYE129" s="18"/>
      <c r="FYF129" s="18"/>
      <c r="FYG129" s="18"/>
      <c r="FYH129" s="18"/>
      <c r="FYI129" s="18"/>
      <c r="FYJ129" s="18"/>
      <c r="FYK129" s="18"/>
      <c r="FYL129" s="18"/>
      <c r="FYM129" s="18"/>
      <c r="FYN129" s="18"/>
      <c r="FYO129" s="18"/>
      <c r="FYP129" s="18"/>
      <c r="FYQ129" s="18"/>
      <c r="FYR129" s="18"/>
      <c r="FYS129" s="18"/>
      <c r="FYT129" s="18"/>
      <c r="FYU129" s="18"/>
      <c r="FYV129" s="18"/>
      <c r="FYW129" s="18"/>
      <c r="FYX129" s="18"/>
      <c r="FYY129" s="18"/>
      <c r="FYZ129" s="18"/>
      <c r="FZA129" s="18"/>
      <c r="FZB129" s="18"/>
      <c r="FZC129" s="18"/>
      <c r="FZD129" s="18"/>
      <c r="FZE129" s="18"/>
      <c r="FZF129" s="18"/>
      <c r="FZG129" s="18"/>
      <c r="FZH129" s="18"/>
      <c r="FZI129" s="18"/>
      <c r="FZJ129" s="18"/>
      <c r="FZK129" s="18"/>
      <c r="FZL129" s="18"/>
      <c r="FZM129" s="18"/>
      <c r="FZN129" s="18"/>
      <c r="FZO129" s="18"/>
      <c r="FZP129" s="18"/>
      <c r="FZQ129" s="18"/>
      <c r="FZR129" s="18"/>
      <c r="FZS129" s="18"/>
      <c r="FZT129" s="18"/>
      <c r="FZU129" s="18"/>
      <c r="FZV129" s="18"/>
      <c r="FZW129" s="18"/>
      <c r="FZX129" s="18"/>
      <c r="FZY129" s="18"/>
      <c r="FZZ129" s="18"/>
      <c r="GAA129" s="18"/>
      <c r="GAB129" s="18"/>
      <c r="GAC129" s="18"/>
      <c r="GAD129" s="18"/>
      <c r="GAE129" s="18"/>
      <c r="GAF129" s="18"/>
      <c r="GAG129" s="18"/>
      <c r="GAH129" s="18"/>
      <c r="GAI129" s="18"/>
      <c r="GAJ129" s="18"/>
      <c r="GAK129" s="18"/>
      <c r="GAL129" s="18"/>
      <c r="GAM129" s="18"/>
      <c r="GAN129" s="18"/>
      <c r="GAO129" s="18"/>
      <c r="GAP129" s="18"/>
      <c r="GAQ129" s="18"/>
      <c r="GAR129" s="18"/>
      <c r="GAS129" s="18"/>
      <c r="GAT129" s="18"/>
      <c r="GAU129" s="18"/>
      <c r="GAV129" s="18"/>
      <c r="GAW129" s="18"/>
      <c r="GAX129" s="18"/>
      <c r="GAY129" s="18"/>
      <c r="GAZ129" s="18"/>
      <c r="GBA129" s="18"/>
      <c r="GBB129" s="18"/>
      <c r="GBC129" s="18"/>
      <c r="GBD129" s="18"/>
      <c r="GBE129" s="18"/>
      <c r="GBF129" s="18"/>
      <c r="GBG129" s="18"/>
      <c r="GBH129" s="18"/>
      <c r="GBI129" s="18"/>
      <c r="GBJ129" s="18"/>
      <c r="GBK129" s="18"/>
      <c r="GBL129" s="18"/>
      <c r="GBM129" s="18"/>
      <c r="GBN129" s="18"/>
      <c r="GBO129" s="18"/>
      <c r="GBP129" s="18"/>
      <c r="GBQ129" s="18"/>
      <c r="GBR129" s="18"/>
      <c r="GBS129" s="18"/>
      <c r="GBT129" s="18"/>
      <c r="GBU129" s="18"/>
      <c r="GBV129" s="18"/>
      <c r="GBW129" s="18"/>
      <c r="GBX129" s="18"/>
      <c r="GBY129" s="18"/>
      <c r="GBZ129" s="18"/>
      <c r="GCA129" s="18"/>
      <c r="GCB129" s="18"/>
      <c r="GCC129" s="18"/>
      <c r="GCD129" s="18"/>
      <c r="GCE129" s="18"/>
      <c r="GCF129" s="18"/>
      <c r="GCG129" s="18"/>
      <c r="GCH129" s="18"/>
      <c r="GCI129" s="18"/>
      <c r="GCJ129" s="18"/>
      <c r="GCK129" s="18"/>
      <c r="GCL129" s="18"/>
      <c r="GCM129" s="18"/>
      <c r="GCN129" s="18"/>
      <c r="GCO129" s="18"/>
      <c r="GCP129" s="18"/>
      <c r="GCQ129" s="18"/>
      <c r="GCR129" s="18"/>
      <c r="GCS129" s="18"/>
      <c r="GCT129" s="18"/>
      <c r="GCU129" s="18"/>
      <c r="GCV129" s="18"/>
      <c r="GCW129" s="18"/>
      <c r="GCX129" s="18"/>
      <c r="GCY129" s="18"/>
      <c r="GCZ129" s="18"/>
      <c r="GDA129" s="18"/>
      <c r="GDB129" s="18"/>
      <c r="GDC129" s="18"/>
      <c r="GDD129" s="18"/>
      <c r="GDE129" s="18"/>
      <c r="GDF129" s="18"/>
      <c r="GDG129" s="18"/>
      <c r="GDH129" s="18"/>
      <c r="GDI129" s="18"/>
      <c r="GDJ129" s="18"/>
      <c r="GDK129" s="18"/>
      <c r="GDL129" s="18"/>
      <c r="GDM129" s="18"/>
      <c r="GDN129" s="18"/>
      <c r="GDO129" s="18"/>
      <c r="GDP129" s="18"/>
      <c r="GDQ129" s="18"/>
      <c r="GDR129" s="18"/>
      <c r="GDS129" s="18"/>
      <c r="GDT129" s="18"/>
      <c r="GDU129" s="18"/>
      <c r="GDV129" s="18"/>
      <c r="GDW129" s="18"/>
      <c r="GDX129" s="18"/>
      <c r="GDY129" s="18"/>
      <c r="GDZ129" s="18"/>
      <c r="GEA129" s="18"/>
      <c r="GEB129" s="18"/>
      <c r="GEC129" s="18"/>
      <c r="GED129" s="18"/>
      <c r="GEE129" s="18"/>
      <c r="GEF129" s="18"/>
      <c r="GEG129" s="18"/>
      <c r="GEH129" s="18"/>
      <c r="GEI129" s="18"/>
      <c r="GEJ129" s="18"/>
      <c r="GEK129" s="18"/>
      <c r="GEL129" s="18"/>
      <c r="GEM129" s="18"/>
      <c r="GEN129" s="18"/>
      <c r="GEO129" s="18"/>
      <c r="GEP129" s="18"/>
      <c r="GEQ129" s="18"/>
      <c r="GER129" s="18"/>
      <c r="GES129" s="18"/>
      <c r="GET129" s="18"/>
      <c r="GEU129" s="18"/>
      <c r="GEV129" s="18"/>
      <c r="GEW129" s="18"/>
      <c r="GEX129" s="18"/>
      <c r="GEY129" s="18"/>
      <c r="GEZ129" s="18"/>
      <c r="GFA129" s="18"/>
      <c r="GFB129" s="18"/>
      <c r="GFC129" s="18"/>
      <c r="GFD129" s="18"/>
      <c r="GFE129" s="18"/>
      <c r="GFF129" s="18"/>
      <c r="GFG129" s="18"/>
      <c r="GFH129" s="18"/>
      <c r="GFI129" s="18"/>
      <c r="GFJ129" s="18"/>
      <c r="GFK129" s="18"/>
      <c r="GFL129" s="18"/>
      <c r="GFM129" s="18"/>
      <c r="GFN129" s="18"/>
      <c r="GFO129" s="18"/>
      <c r="GFP129" s="18"/>
      <c r="GFQ129" s="18"/>
      <c r="GFR129" s="18"/>
      <c r="GFS129" s="18"/>
      <c r="GFT129" s="18"/>
      <c r="GFU129" s="18"/>
      <c r="GFV129" s="18"/>
      <c r="GFW129" s="18"/>
      <c r="GFX129" s="18"/>
      <c r="GFY129" s="18"/>
      <c r="GFZ129" s="18"/>
      <c r="GGA129" s="18"/>
      <c r="GGB129" s="18"/>
      <c r="GGC129" s="18"/>
      <c r="GGD129" s="18"/>
      <c r="GGE129" s="18"/>
      <c r="GGF129" s="18"/>
      <c r="GGG129" s="18"/>
      <c r="GGH129" s="18"/>
      <c r="GGI129" s="18"/>
      <c r="GGJ129" s="18"/>
      <c r="GGK129" s="18"/>
      <c r="GGL129" s="18"/>
      <c r="GGM129" s="18"/>
      <c r="GGN129" s="18"/>
      <c r="GGO129" s="18"/>
      <c r="GGP129" s="18"/>
      <c r="GGQ129" s="18"/>
      <c r="GGR129" s="18"/>
      <c r="GGS129" s="18"/>
      <c r="GGT129" s="18"/>
      <c r="GGU129" s="18"/>
      <c r="GGV129" s="18"/>
      <c r="GGW129" s="18"/>
      <c r="GGX129" s="18"/>
      <c r="GGY129" s="18"/>
      <c r="GGZ129" s="18"/>
      <c r="GHA129" s="18"/>
      <c r="GHB129" s="18"/>
      <c r="GHC129" s="18"/>
      <c r="GHD129" s="18"/>
      <c r="GHE129" s="18"/>
      <c r="GHF129" s="18"/>
      <c r="GHG129" s="18"/>
      <c r="GHH129" s="18"/>
      <c r="GHI129" s="18"/>
      <c r="GHJ129" s="18"/>
      <c r="GHK129" s="18"/>
      <c r="GHL129" s="18"/>
      <c r="GHM129" s="18"/>
      <c r="GHN129" s="18"/>
      <c r="GHO129" s="18"/>
      <c r="GHP129" s="18"/>
      <c r="GHQ129" s="18"/>
      <c r="GHR129" s="18"/>
      <c r="GHS129" s="18"/>
      <c r="GHT129" s="18"/>
      <c r="GHU129" s="18"/>
      <c r="GHV129" s="18"/>
      <c r="GHW129" s="18"/>
      <c r="GHX129" s="18"/>
      <c r="GHY129" s="18"/>
      <c r="GHZ129" s="18"/>
      <c r="GIA129" s="18"/>
      <c r="GIB129" s="18"/>
      <c r="GIC129" s="18"/>
      <c r="GID129" s="18"/>
      <c r="GIE129" s="18"/>
      <c r="GIF129" s="18"/>
      <c r="GIG129" s="18"/>
      <c r="GIH129" s="18"/>
      <c r="GII129" s="18"/>
      <c r="GIJ129" s="18"/>
      <c r="GIK129" s="18"/>
      <c r="GIL129" s="18"/>
      <c r="GIM129" s="18"/>
      <c r="GIN129" s="18"/>
      <c r="GIO129" s="18"/>
      <c r="GIP129" s="18"/>
      <c r="GIQ129" s="18"/>
      <c r="GIR129" s="18"/>
      <c r="GIS129" s="18"/>
      <c r="GIT129" s="18"/>
      <c r="GIU129" s="18"/>
      <c r="GIV129" s="18"/>
      <c r="GIW129" s="18"/>
      <c r="GIX129" s="18"/>
      <c r="GIY129" s="18"/>
      <c r="GIZ129" s="18"/>
      <c r="GJA129" s="18"/>
      <c r="GJB129" s="18"/>
      <c r="GJC129" s="18"/>
      <c r="GJD129" s="18"/>
      <c r="GJE129" s="18"/>
      <c r="GJF129" s="18"/>
      <c r="GJG129" s="18"/>
      <c r="GJH129" s="18"/>
      <c r="GJI129" s="18"/>
      <c r="GJJ129" s="18"/>
      <c r="GJK129" s="18"/>
      <c r="GJL129" s="18"/>
      <c r="GJM129" s="18"/>
      <c r="GJN129" s="18"/>
      <c r="GJO129" s="18"/>
      <c r="GJP129" s="18"/>
      <c r="GJQ129" s="18"/>
      <c r="GJR129" s="18"/>
      <c r="GJS129" s="18"/>
      <c r="GJT129" s="18"/>
      <c r="GJU129" s="18"/>
      <c r="GJV129" s="18"/>
      <c r="GJW129" s="18"/>
      <c r="GJX129" s="18"/>
      <c r="GJY129" s="18"/>
      <c r="GJZ129" s="18"/>
      <c r="GKA129" s="18"/>
      <c r="GKB129" s="18"/>
      <c r="GKC129" s="18"/>
      <c r="GKD129" s="18"/>
      <c r="GKE129" s="18"/>
      <c r="GKF129" s="18"/>
      <c r="GKG129" s="18"/>
      <c r="GKH129" s="18"/>
      <c r="GKI129" s="18"/>
      <c r="GKJ129" s="18"/>
      <c r="GKK129" s="18"/>
      <c r="GKL129" s="18"/>
      <c r="GKM129" s="18"/>
      <c r="GKN129" s="18"/>
      <c r="GKO129" s="18"/>
      <c r="GKP129" s="18"/>
      <c r="GKQ129" s="18"/>
      <c r="GKR129" s="18"/>
      <c r="GKS129" s="18"/>
      <c r="GKT129" s="18"/>
      <c r="GKU129" s="18"/>
      <c r="GKV129" s="18"/>
      <c r="GKW129" s="18"/>
      <c r="GKX129" s="18"/>
      <c r="GKY129" s="18"/>
      <c r="GKZ129" s="18"/>
      <c r="GLA129" s="18"/>
      <c r="GLB129" s="18"/>
      <c r="GLC129" s="18"/>
      <c r="GLD129" s="18"/>
      <c r="GLE129" s="18"/>
      <c r="GLF129" s="18"/>
      <c r="GLG129" s="18"/>
      <c r="GLH129" s="18"/>
      <c r="GLI129" s="18"/>
      <c r="GLJ129" s="18"/>
      <c r="GLK129" s="18"/>
      <c r="GLL129" s="18"/>
      <c r="GLM129" s="18"/>
      <c r="GLN129" s="18"/>
      <c r="GLO129" s="18"/>
      <c r="GLP129" s="18"/>
      <c r="GLQ129" s="18"/>
      <c r="GLR129" s="18"/>
      <c r="GLS129" s="18"/>
      <c r="GLT129" s="18"/>
      <c r="GLU129" s="18"/>
      <c r="GLV129" s="18"/>
      <c r="GLW129" s="18"/>
      <c r="GLX129" s="18"/>
      <c r="GLY129" s="18"/>
      <c r="GLZ129" s="18"/>
      <c r="GMA129" s="18"/>
      <c r="GMB129" s="18"/>
      <c r="GMC129" s="18"/>
      <c r="GMD129" s="18"/>
      <c r="GME129" s="18"/>
      <c r="GMF129" s="18"/>
      <c r="GMG129" s="18"/>
      <c r="GMH129" s="18"/>
      <c r="GMI129" s="18"/>
      <c r="GMJ129" s="18"/>
      <c r="GMK129" s="18"/>
      <c r="GML129" s="18"/>
      <c r="GMM129" s="18"/>
      <c r="GMN129" s="18"/>
      <c r="GMO129" s="18"/>
      <c r="GMP129" s="18"/>
      <c r="GMQ129" s="18"/>
      <c r="GMR129" s="18"/>
      <c r="GMS129" s="18"/>
      <c r="GMT129" s="18"/>
      <c r="GMU129" s="18"/>
      <c r="GMV129" s="18"/>
      <c r="GMW129" s="18"/>
      <c r="GMX129" s="18"/>
      <c r="GMY129" s="18"/>
      <c r="GMZ129" s="18"/>
      <c r="GNA129" s="18"/>
      <c r="GNB129" s="18"/>
      <c r="GNC129" s="18"/>
      <c r="GND129" s="18"/>
      <c r="GNE129" s="18"/>
      <c r="GNF129" s="18"/>
      <c r="GNG129" s="18"/>
      <c r="GNH129" s="18"/>
      <c r="GNI129" s="18"/>
      <c r="GNJ129" s="18"/>
      <c r="GNK129" s="18"/>
      <c r="GNL129" s="18"/>
      <c r="GNM129" s="18"/>
      <c r="GNN129" s="18"/>
      <c r="GNO129" s="18"/>
      <c r="GNP129" s="18"/>
      <c r="GNQ129" s="18"/>
      <c r="GNR129" s="18"/>
      <c r="GNS129" s="18"/>
      <c r="GNT129" s="18"/>
      <c r="GNU129" s="18"/>
      <c r="GNV129" s="18"/>
      <c r="GNW129" s="18"/>
      <c r="GNX129" s="18"/>
      <c r="GNY129" s="18"/>
      <c r="GNZ129" s="18"/>
      <c r="GOA129" s="18"/>
      <c r="GOB129" s="18"/>
      <c r="GOC129" s="18"/>
      <c r="GOD129" s="18"/>
      <c r="GOE129" s="18"/>
      <c r="GOF129" s="18"/>
      <c r="GOG129" s="18"/>
      <c r="GOH129" s="18"/>
      <c r="GOI129" s="18"/>
      <c r="GOJ129" s="18"/>
      <c r="GOK129" s="18"/>
      <c r="GOL129" s="18"/>
      <c r="GOM129" s="18"/>
      <c r="GON129" s="18"/>
      <c r="GOO129" s="18"/>
      <c r="GOP129" s="18"/>
      <c r="GOQ129" s="18"/>
      <c r="GOR129" s="18"/>
      <c r="GOS129" s="18"/>
      <c r="GOT129" s="18"/>
      <c r="GOU129" s="18"/>
      <c r="GOV129" s="18"/>
      <c r="GOW129" s="18"/>
      <c r="GOX129" s="18"/>
      <c r="GOY129" s="18"/>
      <c r="GOZ129" s="18"/>
      <c r="GPA129" s="18"/>
      <c r="GPB129" s="18"/>
      <c r="GPC129" s="18"/>
      <c r="GPD129" s="18"/>
      <c r="GPE129" s="18"/>
      <c r="GPF129" s="18"/>
      <c r="GPG129" s="18"/>
      <c r="GPH129" s="18"/>
      <c r="GPI129" s="18"/>
      <c r="GPJ129" s="18"/>
      <c r="GPK129" s="18"/>
      <c r="GPL129" s="18"/>
      <c r="GPM129" s="18"/>
      <c r="GPN129" s="18"/>
      <c r="GPO129" s="18"/>
      <c r="GPP129" s="18"/>
      <c r="GPQ129" s="18"/>
      <c r="GPR129" s="18"/>
      <c r="GPS129" s="18"/>
      <c r="GPT129" s="18"/>
      <c r="GPU129" s="18"/>
      <c r="GPV129" s="18"/>
      <c r="GPW129" s="18"/>
      <c r="GPX129" s="18"/>
      <c r="GPY129" s="18"/>
      <c r="GPZ129" s="18"/>
      <c r="GQA129" s="18"/>
      <c r="GQB129" s="18"/>
      <c r="GQC129" s="18"/>
      <c r="GQD129" s="18"/>
      <c r="GQE129" s="18"/>
      <c r="GQF129" s="18"/>
      <c r="GQG129" s="18"/>
      <c r="GQH129" s="18"/>
      <c r="GQI129" s="18"/>
      <c r="GQJ129" s="18"/>
      <c r="GQK129" s="18"/>
      <c r="GQL129" s="18"/>
      <c r="GQM129" s="18"/>
      <c r="GQN129" s="18"/>
      <c r="GQO129" s="18"/>
      <c r="GQP129" s="18"/>
      <c r="GQQ129" s="18"/>
      <c r="GQR129" s="18"/>
      <c r="GQS129" s="18"/>
      <c r="GQT129" s="18"/>
      <c r="GQU129" s="18"/>
      <c r="GQV129" s="18"/>
      <c r="GQW129" s="18"/>
      <c r="GQX129" s="18"/>
      <c r="GQY129" s="18"/>
      <c r="GQZ129" s="18"/>
      <c r="GRA129" s="18"/>
      <c r="GRB129" s="18"/>
      <c r="GRC129" s="18"/>
      <c r="GRD129" s="18"/>
      <c r="GRE129" s="18"/>
      <c r="GRF129" s="18"/>
      <c r="GRG129" s="18"/>
      <c r="GRH129" s="18"/>
      <c r="GRI129" s="18"/>
      <c r="GRJ129" s="18"/>
      <c r="GRK129" s="18"/>
      <c r="GRL129" s="18"/>
      <c r="GRM129" s="18"/>
      <c r="GRN129" s="18"/>
      <c r="GRO129" s="18"/>
      <c r="GRP129" s="18"/>
      <c r="GRQ129" s="18"/>
      <c r="GRR129" s="18"/>
      <c r="GRS129" s="18"/>
      <c r="GRT129" s="18"/>
      <c r="GRU129" s="18"/>
      <c r="GRV129" s="18"/>
      <c r="GRW129" s="18"/>
      <c r="GRX129" s="18"/>
      <c r="GRY129" s="18"/>
      <c r="GRZ129" s="18"/>
      <c r="GSA129" s="18"/>
      <c r="GSB129" s="18"/>
      <c r="GSC129" s="18"/>
      <c r="GSD129" s="18"/>
      <c r="GSE129" s="18"/>
      <c r="GSF129" s="18"/>
      <c r="GSG129" s="18"/>
      <c r="GSH129" s="18"/>
      <c r="GSI129" s="18"/>
      <c r="GSJ129" s="18"/>
      <c r="GSK129" s="18"/>
      <c r="GSL129" s="18"/>
      <c r="GSM129" s="18"/>
      <c r="GSN129" s="18"/>
      <c r="GSO129" s="18"/>
      <c r="GSP129" s="18"/>
      <c r="GSQ129" s="18"/>
      <c r="GSR129" s="18"/>
      <c r="GSS129" s="18"/>
      <c r="GST129" s="18"/>
      <c r="GSU129" s="18"/>
      <c r="GSV129" s="18"/>
      <c r="GSW129" s="18"/>
      <c r="GSX129" s="18"/>
      <c r="GSY129" s="18"/>
      <c r="GSZ129" s="18"/>
      <c r="GTA129" s="18"/>
      <c r="GTB129" s="18"/>
      <c r="GTC129" s="18"/>
      <c r="GTD129" s="18"/>
      <c r="GTE129" s="18"/>
      <c r="GTF129" s="18"/>
      <c r="GTG129" s="18"/>
      <c r="GTH129" s="18"/>
      <c r="GTI129" s="18"/>
      <c r="GTJ129" s="18"/>
      <c r="GTK129" s="18"/>
      <c r="GTL129" s="18"/>
      <c r="GTM129" s="18"/>
      <c r="GTN129" s="18"/>
      <c r="GTO129" s="18"/>
      <c r="GTP129" s="18"/>
      <c r="GTQ129" s="18"/>
      <c r="GTR129" s="18"/>
      <c r="GTS129" s="18"/>
      <c r="GTT129" s="18"/>
      <c r="GTU129" s="18"/>
      <c r="GTV129" s="18"/>
      <c r="GTW129" s="18"/>
      <c r="GTX129" s="18"/>
      <c r="GTY129" s="18"/>
      <c r="GTZ129" s="18"/>
      <c r="GUA129" s="18"/>
      <c r="GUB129" s="18"/>
      <c r="GUC129" s="18"/>
      <c r="GUD129" s="18"/>
      <c r="GUE129" s="18"/>
      <c r="GUF129" s="18"/>
      <c r="GUG129" s="18"/>
      <c r="GUH129" s="18"/>
      <c r="GUI129" s="18"/>
      <c r="GUJ129" s="18"/>
      <c r="GUK129" s="18"/>
      <c r="GUL129" s="18"/>
      <c r="GUM129" s="18"/>
      <c r="GUN129" s="18"/>
      <c r="GUO129" s="18"/>
      <c r="GUP129" s="18"/>
      <c r="GUQ129" s="18"/>
      <c r="GUR129" s="18"/>
      <c r="GUS129" s="18"/>
      <c r="GUT129" s="18"/>
      <c r="GUU129" s="18"/>
      <c r="GUV129" s="18"/>
      <c r="GUW129" s="18"/>
      <c r="GUX129" s="18"/>
      <c r="GUY129" s="18"/>
      <c r="GUZ129" s="18"/>
      <c r="GVA129" s="18"/>
      <c r="GVB129" s="18"/>
      <c r="GVC129" s="18"/>
      <c r="GVD129" s="18"/>
      <c r="GVE129" s="18"/>
      <c r="GVF129" s="18"/>
      <c r="GVG129" s="18"/>
      <c r="GVH129" s="18"/>
      <c r="GVI129" s="18"/>
      <c r="GVJ129" s="18"/>
      <c r="GVK129" s="18"/>
      <c r="GVL129" s="18"/>
      <c r="GVM129" s="18"/>
      <c r="GVN129" s="18"/>
      <c r="GVO129" s="18"/>
      <c r="GVP129" s="18"/>
      <c r="GVQ129" s="18"/>
      <c r="GVR129" s="18"/>
      <c r="GVS129" s="18"/>
      <c r="GVT129" s="18"/>
      <c r="GVU129" s="18"/>
      <c r="GVV129" s="18"/>
      <c r="GVW129" s="18"/>
      <c r="GVX129" s="18"/>
      <c r="GVY129" s="18"/>
      <c r="GVZ129" s="18"/>
      <c r="GWA129" s="18"/>
      <c r="GWB129" s="18"/>
      <c r="GWC129" s="18"/>
      <c r="GWD129" s="18"/>
      <c r="GWE129" s="18"/>
      <c r="GWF129" s="18"/>
      <c r="GWG129" s="18"/>
      <c r="GWH129" s="18"/>
      <c r="GWI129" s="18"/>
      <c r="GWJ129" s="18"/>
      <c r="GWK129" s="18"/>
      <c r="GWL129" s="18"/>
      <c r="GWM129" s="18"/>
      <c r="GWN129" s="18"/>
      <c r="GWO129" s="18"/>
      <c r="GWP129" s="18"/>
      <c r="GWQ129" s="18"/>
      <c r="GWR129" s="18"/>
      <c r="GWS129" s="18"/>
      <c r="GWT129" s="18"/>
      <c r="GWU129" s="18"/>
      <c r="GWV129" s="18"/>
      <c r="GWW129" s="18"/>
      <c r="GWX129" s="18"/>
      <c r="GWY129" s="18"/>
      <c r="GWZ129" s="18"/>
      <c r="GXA129" s="18"/>
      <c r="GXB129" s="18"/>
      <c r="GXC129" s="18"/>
      <c r="GXD129" s="18"/>
      <c r="GXE129" s="18"/>
      <c r="GXF129" s="18"/>
      <c r="GXG129" s="18"/>
      <c r="GXH129" s="18"/>
      <c r="GXI129" s="18"/>
      <c r="GXJ129" s="18"/>
      <c r="GXK129" s="18"/>
      <c r="GXL129" s="18"/>
      <c r="GXM129" s="18"/>
      <c r="GXN129" s="18"/>
      <c r="GXO129" s="18"/>
      <c r="GXP129" s="18"/>
      <c r="GXQ129" s="18"/>
      <c r="GXR129" s="18"/>
      <c r="GXS129" s="18"/>
      <c r="GXT129" s="18"/>
      <c r="GXU129" s="18"/>
      <c r="GXV129" s="18"/>
      <c r="GXW129" s="18"/>
      <c r="GXX129" s="18"/>
      <c r="GXY129" s="18"/>
      <c r="GXZ129" s="18"/>
      <c r="GYA129" s="18"/>
      <c r="GYB129" s="18"/>
      <c r="GYC129" s="18"/>
      <c r="GYD129" s="18"/>
      <c r="GYE129" s="18"/>
      <c r="GYF129" s="18"/>
      <c r="GYG129" s="18"/>
      <c r="GYH129" s="18"/>
      <c r="GYI129" s="18"/>
      <c r="GYJ129" s="18"/>
      <c r="GYK129" s="18"/>
      <c r="GYL129" s="18"/>
      <c r="GYM129" s="18"/>
      <c r="GYN129" s="18"/>
      <c r="GYO129" s="18"/>
      <c r="GYP129" s="18"/>
      <c r="GYQ129" s="18"/>
      <c r="GYR129" s="18"/>
      <c r="GYS129" s="18"/>
      <c r="GYT129" s="18"/>
      <c r="GYU129" s="18"/>
      <c r="GYV129" s="18"/>
      <c r="GYW129" s="18"/>
      <c r="GYX129" s="18"/>
      <c r="GYY129" s="18"/>
      <c r="GYZ129" s="18"/>
      <c r="GZA129" s="18"/>
      <c r="GZB129" s="18"/>
      <c r="GZC129" s="18"/>
      <c r="GZD129" s="18"/>
      <c r="GZE129" s="18"/>
      <c r="GZF129" s="18"/>
      <c r="GZG129" s="18"/>
      <c r="GZH129" s="18"/>
      <c r="GZI129" s="18"/>
      <c r="GZJ129" s="18"/>
      <c r="GZK129" s="18"/>
      <c r="GZL129" s="18"/>
      <c r="GZM129" s="18"/>
      <c r="GZN129" s="18"/>
      <c r="GZO129" s="18"/>
      <c r="GZP129" s="18"/>
      <c r="GZQ129" s="18"/>
      <c r="GZR129" s="18"/>
      <c r="GZS129" s="18"/>
      <c r="GZT129" s="18"/>
      <c r="GZU129" s="18"/>
      <c r="GZV129" s="18"/>
      <c r="GZW129" s="18"/>
      <c r="GZX129" s="18"/>
      <c r="GZY129" s="18"/>
      <c r="GZZ129" s="18"/>
      <c r="HAA129" s="18"/>
      <c r="HAB129" s="18"/>
      <c r="HAC129" s="18"/>
      <c r="HAD129" s="18"/>
      <c r="HAE129" s="18"/>
      <c r="HAF129" s="18"/>
      <c r="HAG129" s="18"/>
      <c r="HAH129" s="18"/>
      <c r="HAI129" s="18"/>
      <c r="HAJ129" s="18"/>
      <c r="HAK129" s="18"/>
      <c r="HAL129" s="18"/>
      <c r="HAM129" s="18"/>
      <c r="HAN129" s="18"/>
      <c r="HAO129" s="18"/>
      <c r="HAP129" s="18"/>
      <c r="HAQ129" s="18"/>
      <c r="HAR129" s="18"/>
      <c r="HAS129" s="18"/>
      <c r="HAT129" s="18"/>
      <c r="HAU129" s="18"/>
      <c r="HAV129" s="18"/>
      <c r="HAW129" s="18"/>
      <c r="HAX129" s="18"/>
      <c r="HAY129" s="18"/>
      <c r="HAZ129" s="18"/>
      <c r="HBA129" s="18"/>
      <c r="HBB129" s="18"/>
      <c r="HBC129" s="18"/>
      <c r="HBD129" s="18"/>
      <c r="HBE129" s="18"/>
      <c r="HBF129" s="18"/>
      <c r="HBG129" s="18"/>
      <c r="HBH129" s="18"/>
      <c r="HBI129" s="18"/>
      <c r="HBJ129" s="18"/>
      <c r="HBK129" s="18"/>
      <c r="HBL129" s="18"/>
      <c r="HBM129" s="18"/>
      <c r="HBN129" s="18"/>
      <c r="HBO129" s="18"/>
      <c r="HBP129" s="18"/>
      <c r="HBQ129" s="18"/>
      <c r="HBR129" s="18"/>
      <c r="HBS129" s="18"/>
      <c r="HBT129" s="18"/>
      <c r="HBU129" s="18"/>
      <c r="HBV129" s="18"/>
      <c r="HBW129" s="18"/>
      <c r="HBX129" s="18"/>
      <c r="HBY129" s="18"/>
      <c r="HBZ129" s="18"/>
      <c r="HCA129" s="18"/>
      <c r="HCB129" s="18"/>
      <c r="HCC129" s="18"/>
      <c r="HCD129" s="18"/>
      <c r="HCE129" s="18"/>
      <c r="HCF129" s="18"/>
      <c r="HCG129" s="18"/>
      <c r="HCH129" s="18"/>
      <c r="HCI129" s="18"/>
      <c r="HCJ129" s="18"/>
      <c r="HCK129" s="18"/>
      <c r="HCL129" s="18"/>
      <c r="HCM129" s="18"/>
      <c r="HCN129" s="18"/>
      <c r="HCO129" s="18"/>
      <c r="HCP129" s="18"/>
      <c r="HCQ129" s="18"/>
      <c r="HCR129" s="18"/>
      <c r="HCS129" s="18"/>
      <c r="HCT129" s="18"/>
      <c r="HCU129" s="18"/>
      <c r="HCV129" s="18"/>
      <c r="HCW129" s="18"/>
      <c r="HCX129" s="18"/>
      <c r="HCY129" s="18"/>
      <c r="HCZ129" s="18"/>
      <c r="HDA129" s="18"/>
      <c r="HDB129" s="18"/>
      <c r="HDC129" s="18"/>
      <c r="HDD129" s="18"/>
      <c r="HDE129" s="18"/>
      <c r="HDF129" s="18"/>
      <c r="HDG129" s="18"/>
      <c r="HDH129" s="18"/>
      <c r="HDI129" s="18"/>
      <c r="HDJ129" s="18"/>
      <c r="HDK129" s="18"/>
      <c r="HDL129" s="18"/>
      <c r="HDM129" s="18"/>
      <c r="HDN129" s="18"/>
      <c r="HDO129" s="18"/>
      <c r="HDP129" s="18"/>
      <c r="HDQ129" s="18"/>
      <c r="HDR129" s="18"/>
      <c r="HDS129" s="18"/>
      <c r="HDT129" s="18"/>
      <c r="HDU129" s="18"/>
      <c r="HDV129" s="18"/>
      <c r="HDW129" s="18"/>
      <c r="HDX129" s="18"/>
      <c r="HDY129" s="18"/>
      <c r="HDZ129" s="18"/>
      <c r="HEA129" s="18"/>
      <c r="HEB129" s="18"/>
      <c r="HEC129" s="18"/>
      <c r="HED129" s="18"/>
      <c r="HEE129" s="18"/>
      <c r="HEF129" s="18"/>
      <c r="HEG129" s="18"/>
      <c r="HEH129" s="18"/>
      <c r="HEI129" s="18"/>
      <c r="HEJ129" s="18"/>
      <c r="HEK129" s="18"/>
      <c r="HEL129" s="18"/>
      <c r="HEM129" s="18"/>
      <c r="HEN129" s="18"/>
      <c r="HEO129" s="18"/>
      <c r="HEP129" s="18"/>
      <c r="HEQ129" s="18"/>
      <c r="HER129" s="18"/>
      <c r="HES129" s="18"/>
      <c r="HET129" s="18"/>
      <c r="HEU129" s="18"/>
      <c r="HEV129" s="18"/>
      <c r="HEW129" s="18"/>
      <c r="HEX129" s="18"/>
      <c r="HEY129" s="18"/>
      <c r="HEZ129" s="18"/>
      <c r="HFA129" s="18"/>
      <c r="HFB129" s="18"/>
      <c r="HFC129" s="18"/>
      <c r="HFD129" s="18"/>
      <c r="HFE129" s="18"/>
      <c r="HFF129" s="18"/>
      <c r="HFG129" s="18"/>
      <c r="HFH129" s="18"/>
      <c r="HFI129" s="18"/>
      <c r="HFJ129" s="18"/>
      <c r="HFK129" s="18"/>
      <c r="HFL129" s="18"/>
      <c r="HFM129" s="18"/>
      <c r="HFN129" s="18"/>
      <c r="HFO129" s="18"/>
      <c r="HFP129" s="18"/>
      <c r="HFQ129" s="18"/>
      <c r="HFR129" s="18"/>
      <c r="HFS129" s="18"/>
      <c r="HFT129" s="18"/>
      <c r="HFU129" s="18"/>
      <c r="HFV129" s="18"/>
      <c r="HFW129" s="18"/>
      <c r="HFX129" s="18"/>
      <c r="HFY129" s="18"/>
      <c r="HFZ129" s="18"/>
      <c r="HGA129" s="18"/>
      <c r="HGB129" s="18"/>
      <c r="HGC129" s="18"/>
      <c r="HGD129" s="18"/>
      <c r="HGE129" s="18"/>
      <c r="HGF129" s="18"/>
      <c r="HGG129" s="18"/>
      <c r="HGH129" s="18"/>
      <c r="HGI129" s="18"/>
      <c r="HGJ129" s="18"/>
      <c r="HGK129" s="18"/>
      <c r="HGL129" s="18"/>
      <c r="HGM129" s="18"/>
      <c r="HGN129" s="18"/>
      <c r="HGO129" s="18"/>
      <c r="HGP129" s="18"/>
      <c r="HGQ129" s="18"/>
      <c r="HGR129" s="18"/>
      <c r="HGS129" s="18"/>
      <c r="HGT129" s="18"/>
      <c r="HGU129" s="18"/>
      <c r="HGV129" s="18"/>
      <c r="HGW129" s="18"/>
      <c r="HGX129" s="18"/>
      <c r="HGY129" s="18"/>
      <c r="HGZ129" s="18"/>
      <c r="HHA129" s="18"/>
      <c r="HHB129" s="18"/>
      <c r="HHC129" s="18"/>
      <c r="HHD129" s="18"/>
      <c r="HHE129" s="18"/>
      <c r="HHF129" s="18"/>
      <c r="HHG129" s="18"/>
      <c r="HHH129" s="18"/>
      <c r="HHI129" s="18"/>
      <c r="HHJ129" s="18"/>
      <c r="HHK129" s="18"/>
      <c r="HHL129" s="18"/>
      <c r="HHM129" s="18"/>
      <c r="HHN129" s="18"/>
      <c r="HHO129" s="18"/>
      <c r="HHP129" s="18"/>
      <c r="HHQ129" s="18"/>
      <c r="HHR129" s="18"/>
      <c r="HHS129" s="18"/>
      <c r="HHT129" s="18"/>
      <c r="HHU129" s="18"/>
      <c r="HHV129" s="18"/>
      <c r="HHW129" s="18"/>
      <c r="HHX129" s="18"/>
      <c r="HHY129" s="18"/>
      <c r="HHZ129" s="18"/>
      <c r="HIA129" s="18"/>
      <c r="HIB129" s="18"/>
      <c r="HIC129" s="18"/>
      <c r="HID129" s="18"/>
      <c r="HIE129" s="18"/>
      <c r="HIF129" s="18"/>
      <c r="HIG129" s="18"/>
      <c r="HIH129" s="18"/>
      <c r="HII129" s="18"/>
      <c r="HIJ129" s="18"/>
      <c r="HIK129" s="18"/>
      <c r="HIL129" s="18"/>
      <c r="HIM129" s="18"/>
      <c r="HIN129" s="18"/>
      <c r="HIO129" s="18"/>
      <c r="HIP129" s="18"/>
      <c r="HIQ129" s="18"/>
      <c r="HIR129" s="18"/>
      <c r="HIS129" s="18"/>
      <c r="HIT129" s="18"/>
      <c r="HIU129" s="18"/>
      <c r="HIV129" s="18"/>
      <c r="HIW129" s="18"/>
      <c r="HIX129" s="18"/>
      <c r="HIY129" s="18"/>
      <c r="HIZ129" s="18"/>
      <c r="HJA129" s="18"/>
      <c r="HJB129" s="18"/>
      <c r="HJC129" s="18"/>
      <c r="HJD129" s="18"/>
      <c r="HJE129" s="18"/>
      <c r="HJF129" s="18"/>
      <c r="HJG129" s="18"/>
      <c r="HJH129" s="18"/>
      <c r="HJI129" s="18"/>
      <c r="HJJ129" s="18"/>
      <c r="HJK129" s="18"/>
      <c r="HJL129" s="18"/>
      <c r="HJM129" s="18"/>
      <c r="HJN129" s="18"/>
      <c r="HJO129" s="18"/>
      <c r="HJP129" s="18"/>
      <c r="HJQ129" s="18"/>
      <c r="HJR129" s="18"/>
      <c r="HJS129" s="18"/>
      <c r="HJT129" s="18"/>
      <c r="HJU129" s="18"/>
      <c r="HJV129" s="18"/>
      <c r="HJW129" s="18"/>
      <c r="HJX129" s="18"/>
      <c r="HJY129" s="18"/>
      <c r="HJZ129" s="18"/>
      <c r="HKA129" s="18"/>
      <c r="HKB129" s="18"/>
      <c r="HKC129" s="18"/>
      <c r="HKD129" s="18"/>
      <c r="HKE129" s="18"/>
      <c r="HKF129" s="18"/>
      <c r="HKG129" s="18"/>
      <c r="HKH129" s="18"/>
      <c r="HKI129" s="18"/>
      <c r="HKJ129" s="18"/>
      <c r="HKK129" s="18"/>
      <c r="HKL129" s="18"/>
      <c r="HKM129" s="18"/>
      <c r="HKN129" s="18"/>
      <c r="HKO129" s="18"/>
      <c r="HKP129" s="18"/>
      <c r="HKQ129" s="18"/>
      <c r="HKR129" s="18"/>
      <c r="HKS129" s="18"/>
      <c r="HKT129" s="18"/>
      <c r="HKU129" s="18"/>
      <c r="HKV129" s="18"/>
      <c r="HKW129" s="18"/>
      <c r="HKX129" s="18"/>
      <c r="HKY129" s="18"/>
      <c r="HKZ129" s="18"/>
      <c r="HLA129" s="18"/>
      <c r="HLB129" s="18"/>
      <c r="HLC129" s="18"/>
      <c r="HLD129" s="18"/>
      <c r="HLE129" s="18"/>
      <c r="HLF129" s="18"/>
      <c r="HLG129" s="18"/>
      <c r="HLH129" s="18"/>
      <c r="HLI129" s="18"/>
      <c r="HLJ129" s="18"/>
      <c r="HLK129" s="18"/>
      <c r="HLL129" s="18"/>
      <c r="HLM129" s="18"/>
      <c r="HLN129" s="18"/>
      <c r="HLO129" s="18"/>
      <c r="HLP129" s="18"/>
      <c r="HLQ129" s="18"/>
      <c r="HLR129" s="18"/>
      <c r="HLS129" s="18"/>
      <c r="HLT129" s="18"/>
      <c r="HLU129" s="18"/>
      <c r="HLV129" s="18"/>
      <c r="HLW129" s="18"/>
      <c r="HLX129" s="18"/>
      <c r="HLY129" s="18"/>
      <c r="HLZ129" s="18"/>
      <c r="HMA129" s="18"/>
      <c r="HMB129" s="18"/>
      <c r="HMC129" s="18"/>
      <c r="HMD129" s="18"/>
      <c r="HME129" s="18"/>
      <c r="HMF129" s="18"/>
      <c r="HMG129" s="18"/>
      <c r="HMH129" s="18"/>
      <c r="HMI129" s="18"/>
      <c r="HMJ129" s="18"/>
      <c r="HMK129" s="18"/>
      <c r="HML129" s="18"/>
      <c r="HMM129" s="18"/>
      <c r="HMN129" s="18"/>
      <c r="HMO129" s="18"/>
      <c r="HMP129" s="18"/>
      <c r="HMQ129" s="18"/>
      <c r="HMR129" s="18"/>
      <c r="HMS129" s="18"/>
      <c r="HMT129" s="18"/>
      <c r="HMU129" s="18"/>
      <c r="HMV129" s="18"/>
      <c r="HMW129" s="18"/>
      <c r="HMX129" s="18"/>
      <c r="HMY129" s="18"/>
      <c r="HMZ129" s="18"/>
      <c r="HNA129" s="18"/>
      <c r="HNB129" s="18"/>
      <c r="HNC129" s="18"/>
      <c r="HND129" s="18"/>
      <c r="HNE129" s="18"/>
      <c r="HNF129" s="18"/>
      <c r="HNG129" s="18"/>
      <c r="HNH129" s="18"/>
      <c r="HNI129" s="18"/>
      <c r="HNJ129" s="18"/>
      <c r="HNK129" s="18"/>
      <c r="HNL129" s="18"/>
      <c r="HNM129" s="18"/>
      <c r="HNN129" s="18"/>
      <c r="HNO129" s="18"/>
      <c r="HNP129" s="18"/>
      <c r="HNQ129" s="18"/>
      <c r="HNR129" s="18"/>
      <c r="HNS129" s="18"/>
      <c r="HNT129" s="18"/>
      <c r="HNU129" s="18"/>
      <c r="HNV129" s="18"/>
      <c r="HNW129" s="18"/>
      <c r="HNX129" s="18"/>
      <c r="HNY129" s="18"/>
      <c r="HNZ129" s="18"/>
      <c r="HOA129" s="18"/>
      <c r="HOB129" s="18"/>
      <c r="HOC129" s="18"/>
      <c r="HOD129" s="18"/>
      <c r="HOE129" s="18"/>
      <c r="HOF129" s="18"/>
      <c r="HOG129" s="18"/>
      <c r="HOH129" s="18"/>
      <c r="HOI129" s="18"/>
      <c r="HOJ129" s="18"/>
      <c r="HOK129" s="18"/>
      <c r="HOL129" s="18"/>
      <c r="HOM129" s="18"/>
      <c r="HON129" s="18"/>
      <c r="HOO129" s="18"/>
      <c r="HOP129" s="18"/>
      <c r="HOQ129" s="18"/>
      <c r="HOR129" s="18"/>
      <c r="HOS129" s="18"/>
      <c r="HOT129" s="18"/>
      <c r="HOU129" s="18"/>
      <c r="HOV129" s="18"/>
      <c r="HOW129" s="18"/>
      <c r="HOX129" s="18"/>
      <c r="HOY129" s="18"/>
      <c r="HOZ129" s="18"/>
      <c r="HPA129" s="18"/>
      <c r="HPB129" s="18"/>
      <c r="HPC129" s="18"/>
      <c r="HPD129" s="18"/>
      <c r="HPE129" s="18"/>
      <c r="HPF129" s="18"/>
      <c r="HPG129" s="18"/>
      <c r="HPH129" s="18"/>
      <c r="HPI129" s="18"/>
      <c r="HPJ129" s="18"/>
      <c r="HPK129" s="18"/>
      <c r="HPL129" s="18"/>
      <c r="HPM129" s="18"/>
      <c r="HPN129" s="18"/>
      <c r="HPO129" s="18"/>
      <c r="HPP129" s="18"/>
      <c r="HPQ129" s="18"/>
      <c r="HPR129" s="18"/>
      <c r="HPS129" s="18"/>
      <c r="HPT129" s="18"/>
      <c r="HPU129" s="18"/>
      <c r="HPV129" s="18"/>
      <c r="HPW129" s="18"/>
      <c r="HPX129" s="18"/>
      <c r="HPY129" s="18"/>
      <c r="HPZ129" s="18"/>
      <c r="HQA129" s="18"/>
      <c r="HQB129" s="18"/>
      <c r="HQC129" s="18"/>
      <c r="HQD129" s="18"/>
      <c r="HQE129" s="18"/>
      <c r="HQF129" s="18"/>
      <c r="HQG129" s="18"/>
      <c r="HQH129" s="18"/>
      <c r="HQI129" s="18"/>
      <c r="HQJ129" s="18"/>
      <c r="HQK129" s="18"/>
      <c r="HQL129" s="18"/>
      <c r="HQM129" s="18"/>
      <c r="HQN129" s="18"/>
      <c r="HQO129" s="18"/>
      <c r="HQP129" s="18"/>
      <c r="HQQ129" s="18"/>
      <c r="HQR129" s="18"/>
      <c r="HQS129" s="18"/>
      <c r="HQT129" s="18"/>
      <c r="HQU129" s="18"/>
      <c r="HQV129" s="18"/>
      <c r="HQW129" s="18"/>
      <c r="HQX129" s="18"/>
      <c r="HQY129" s="18"/>
      <c r="HQZ129" s="18"/>
      <c r="HRA129" s="18"/>
      <c r="HRB129" s="18"/>
      <c r="HRC129" s="18"/>
      <c r="HRD129" s="18"/>
      <c r="HRE129" s="18"/>
      <c r="HRF129" s="18"/>
      <c r="HRG129" s="18"/>
      <c r="HRH129" s="18"/>
      <c r="HRI129" s="18"/>
      <c r="HRJ129" s="18"/>
      <c r="HRK129" s="18"/>
      <c r="HRL129" s="18"/>
      <c r="HRM129" s="18"/>
      <c r="HRN129" s="18"/>
      <c r="HRO129" s="18"/>
      <c r="HRP129" s="18"/>
      <c r="HRQ129" s="18"/>
      <c r="HRR129" s="18"/>
      <c r="HRS129" s="18"/>
      <c r="HRT129" s="18"/>
      <c r="HRU129" s="18"/>
      <c r="HRV129" s="18"/>
      <c r="HRW129" s="18"/>
      <c r="HRX129" s="18"/>
      <c r="HRY129" s="18"/>
      <c r="HRZ129" s="18"/>
      <c r="HSA129" s="18"/>
      <c r="HSB129" s="18"/>
      <c r="HSC129" s="18"/>
      <c r="HSD129" s="18"/>
      <c r="HSE129" s="18"/>
      <c r="HSF129" s="18"/>
      <c r="HSG129" s="18"/>
      <c r="HSH129" s="18"/>
      <c r="HSI129" s="18"/>
      <c r="HSJ129" s="18"/>
      <c r="HSK129" s="18"/>
      <c r="HSL129" s="18"/>
      <c r="HSM129" s="18"/>
      <c r="HSN129" s="18"/>
      <c r="HSO129" s="18"/>
      <c r="HSP129" s="18"/>
      <c r="HSQ129" s="18"/>
      <c r="HSR129" s="18"/>
      <c r="HSS129" s="18"/>
      <c r="HST129" s="18"/>
      <c r="HSU129" s="18"/>
      <c r="HSV129" s="18"/>
      <c r="HSW129" s="18"/>
      <c r="HSX129" s="18"/>
      <c r="HSY129" s="18"/>
      <c r="HSZ129" s="18"/>
      <c r="HTA129" s="18"/>
      <c r="HTB129" s="18"/>
      <c r="HTC129" s="18"/>
      <c r="HTD129" s="18"/>
      <c r="HTE129" s="18"/>
      <c r="HTF129" s="18"/>
      <c r="HTG129" s="18"/>
      <c r="HTH129" s="18"/>
      <c r="HTI129" s="18"/>
      <c r="HTJ129" s="18"/>
      <c r="HTK129" s="18"/>
      <c r="HTL129" s="18"/>
      <c r="HTM129" s="18"/>
      <c r="HTN129" s="18"/>
      <c r="HTO129" s="18"/>
      <c r="HTP129" s="18"/>
      <c r="HTQ129" s="18"/>
      <c r="HTR129" s="18"/>
      <c r="HTS129" s="18"/>
      <c r="HTT129" s="18"/>
      <c r="HTU129" s="18"/>
      <c r="HTV129" s="18"/>
      <c r="HTW129" s="18"/>
      <c r="HTX129" s="18"/>
      <c r="HTY129" s="18"/>
      <c r="HTZ129" s="18"/>
      <c r="HUA129" s="18"/>
      <c r="HUB129" s="18"/>
      <c r="HUC129" s="18"/>
      <c r="HUD129" s="18"/>
      <c r="HUE129" s="18"/>
      <c r="HUF129" s="18"/>
      <c r="HUG129" s="18"/>
      <c r="HUH129" s="18"/>
      <c r="HUI129" s="18"/>
      <c r="HUJ129" s="18"/>
      <c r="HUK129" s="18"/>
      <c r="HUL129" s="18"/>
      <c r="HUM129" s="18"/>
      <c r="HUN129" s="18"/>
      <c r="HUO129" s="18"/>
      <c r="HUP129" s="18"/>
      <c r="HUQ129" s="18"/>
      <c r="HUR129" s="18"/>
      <c r="HUS129" s="18"/>
      <c r="HUT129" s="18"/>
      <c r="HUU129" s="18"/>
      <c r="HUV129" s="18"/>
      <c r="HUW129" s="18"/>
      <c r="HUX129" s="18"/>
      <c r="HUY129" s="18"/>
      <c r="HUZ129" s="18"/>
      <c r="HVA129" s="18"/>
      <c r="HVB129" s="18"/>
      <c r="HVC129" s="18"/>
      <c r="HVD129" s="18"/>
      <c r="HVE129" s="18"/>
      <c r="HVF129" s="18"/>
      <c r="HVG129" s="18"/>
      <c r="HVH129" s="18"/>
      <c r="HVI129" s="18"/>
      <c r="HVJ129" s="18"/>
      <c r="HVK129" s="18"/>
      <c r="HVL129" s="18"/>
      <c r="HVM129" s="18"/>
      <c r="HVN129" s="18"/>
      <c r="HVO129" s="18"/>
      <c r="HVP129" s="18"/>
      <c r="HVQ129" s="18"/>
      <c r="HVR129" s="18"/>
      <c r="HVS129" s="18"/>
      <c r="HVT129" s="18"/>
      <c r="HVU129" s="18"/>
      <c r="HVV129" s="18"/>
      <c r="HVW129" s="18"/>
      <c r="HVX129" s="18"/>
      <c r="HVY129" s="18"/>
      <c r="HVZ129" s="18"/>
      <c r="HWA129" s="18"/>
      <c r="HWB129" s="18"/>
      <c r="HWC129" s="18"/>
      <c r="HWD129" s="18"/>
      <c r="HWE129" s="18"/>
      <c r="HWF129" s="18"/>
      <c r="HWG129" s="18"/>
      <c r="HWH129" s="18"/>
      <c r="HWI129" s="18"/>
      <c r="HWJ129" s="18"/>
      <c r="HWK129" s="18"/>
      <c r="HWL129" s="18"/>
      <c r="HWM129" s="18"/>
      <c r="HWN129" s="18"/>
      <c r="HWO129" s="18"/>
      <c r="HWP129" s="18"/>
      <c r="HWQ129" s="18"/>
      <c r="HWR129" s="18"/>
      <c r="HWS129" s="18"/>
      <c r="HWT129" s="18"/>
      <c r="HWU129" s="18"/>
      <c r="HWV129" s="18"/>
      <c r="HWW129" s="18"/>
      <c r="HWX129" s="18"/>
      <c r="HWY129" s="18"/>
      <c r="HWZ129" s="18"/>
      <c r="HXA129" s="18"/>
      <c r="HXB129" s="18"/>
      <c r="HXC129" s="18"/>
      <c r="HXD129" s="18"/>
      <c r="HXE129" s="18"/>
      <c r="HXF129" s="18"/>
      <c r="HXG129" s="18"/>
      <c r="HXH129" s="18"/>
      <c r="HXI129" s="18"/>
      <c r="HXJ129" s="18"/>
      <c r="HXK129" s="18"/>
      <c r="HXL129" s="18"/>
      <c r="HXM129" s="18"/>
      <c r="HXN129" s="18"/>
      <c r="HXO129" s="18"/>
      <c r="HXP129" s="18"/>
      <c r="HXQ129" s="18"/>
      <c r="HXR129" s="18"/>
      <c r="HXS129" s="18"/>
      <c r="HXT129" s="18"/>
      <c r="HXU129" s="18"/>
      <c r="HXV129" s="18"/>
      <c r="HXW129" s="18"/>
      <c r="HXX129" s="18"/>
      <c r="HXY129" s="18"/>
      <c r="HXZ129" s="18"/>
      <c r="HYA129" s="18"/>
      <c r="HYB129" s="18"/>
      <c r="HYC129" s="18"/>
      <c r="HYD129" s="18"/>
      <c r="HYE129" s="18"/>
      <c r="HYF129" s="18"/>
      <c r="HYG129" s="18"/>
      <c r="HYH129" s="18"/>
      <c r="HYI129" s="18"/>
      <c r="HYJ129" s="18"/>
      <c r="HYK129" s="18"/>
      <c r="HYL129" s="18"/>
      <c r="HYM129" s="18"/>
      <c r="HYN129" s="18"/>
      <c r="HYO129" s="18"/>
      <c r="HYP129" s="18"/>
      <c r="HYQ129" s="18"/>
      <c r="HYR129" s="18"/>
      <c r="HYS129" s="18"/>
      <c r="HYT129" s="18"/>
      <c r="HYU129" s="18"/>
      <c r="HYV129" s="18"/>
      <c r="HYW129" s="18"/>
      <c r="HYX129" s="18"/>
      <c r="HYY129" s="18"/>
      <c r="HYZ129" s="18"/>
      <c r="HZA129" s="18"/>
      <c r="HZB129" s="18"/>
      <c r="HZC129" s="18"/>
      <c r="HZD129" s="18"/>
      <c r="HZE129" s="18"/>
      <c r="HZF129" s="18"/>
      <c r="HZG129" s="18"/>
      <c r="HZH129" s="18"/>
      <c r="HZI129" s="18"/>
      <c r="HZJ129" s="18"/>
      <c r="HZK129" s="18"/>
      <c r="HZL129" s="18"/>
      <c r="HZM129" s="18"/>
      <c r="HZN129" s="18"/>
      <c r="HZO129" s="18"/>
      <c r="HZP129" s="18"/>
      <c r="HZQ129" s="18"/>
      <c r="HZR129" s="18"/>
      <c r="HZS129" s="18"/>
      <c r="HZT129" s="18"/>
      <c r="HZU129" s="18"/>
      <c r="HZV129" s="18"/>
      <c r="HZW129" s="18"/>
      <c r="HZX129" s="18"/>
      <c r="HZY129" s="18"/>
      <c r="HZZ129" s="18"/>
      <c r="IAA129" s="18"/>
      <c r="IAB129" s="18"/>
      <c r="IAC129" s="18"/>
      <c r="IAD129" s="18"/>
      <c r="IAE129" s="18"/>
      <c r="IAF129" s="18"/>
      <c r="IAG129" s="18"/>
      <c r="IAH129" s="18"/>
      <c r="IAI129" s="18"/>
      <c r="IAJ129" s="18"/>
      <c r="IAK129" s="18"/>
      <c r="IAL129" s="18"/>
      <c r="IAM129" s="18"/>
      <c r="IAN129" s="18"/>
      <c r="IAO129" s="18"/>
      <c r="IAP129" s="18"/>
      <c r="IAQ129" s="18"/>
      <c r="IAR129" s="18"/>
      <c r="IAS129" s="18"/>
      <c r="IAT129" s="18"/>
      <c r="IAU129" s="18"/>
      <c r="IAV129" s="18"/>
      <c r="IAW129" s="18"/>
      <c r="IAX129" s="18"/>
      <c r="IAY129" s="18"/>
      <c r="IAZ129" s="18"/>
      <c r="IBA129" s="18"/>
      <c r="IBB129" s="18"/>
      <c r="IBC129" s="18"/>
      <c r="IBD129" s="18"/>
      <c r="IBE129" s="18"/>
      <c r="IBF129" s="18"/>
      <c r="IBG129" s="18"/>
      <c r="IBH129" s="18"/>
      <c r="IBI129" s="18"/>
      <c r="IBJ129" s="18"/>
      <c r="IBK129" s="18"/>
      <c r="IBL129" s="18"/>
      <c r="IBM129" s="18"/>
      <c r="IBN129" s="18"/>
      <c r="IBO129" s="18"/>
      <c r="IBP129" s="18"/>
      <c r="IBQ129" s="18"/>
      <c r="IBR129" s="18"/>
      <c r="IBS129" s="18"/>
      <c r="IBT129" s="18"/>
      <c r="IBU129" s="18"/>
      <c r="IBV129" s="18"/>
      <c r="IBW129" s="18"/>
      <c r="IBX129" s="18"/>
      <c r="IBY129" s="18"/>
      <c r="IBZ129" s="18"/>
      <c r="ICA129" s="18"/>
      <c r="ICB129" s="18"/>
      <c r="ICC129" s="18"/>
      <c r="ICD129" s="18"/>
      <c r="ICE129" s="18"/>
      <c r="ICF129" s="18"/>
      <c r="ICG129" s="18"/>
      <c r="ICH129" s="18"/>
      <c r="ICI129" s="18"/>
      <c r="ICJ129" s="18"/>
      <c r="ICK129" s="18"/>
      <c r="ICL129" s="18"/>
      <c r="ICM129" s="18"/>
      <c r="ICN129" s="18"/>
      <c r="ICO129" s="18"/>
      <c r="ICP129" s="18"/>
      <c r="ICQ129" s="18"/>
      <c r="ICR129" s="18"/>
      <c r="ICS129" s="18"/>
      <c r="ICT129" s="18"/>
      <c r="ICU129" s="18"/>
      <c r="ICV129" s="18"/>
      <c r="ICW129" s="18"/>
      <c r="ICX129" s="18"/>
      <c r="ICY129" s="18"/>
      <c r="ICZ129" s="18"/>
      <c r="IDA129" s="18"/>
      <c r="IDB129" s="18"/>
      <c r="IDC129" s="18"/>
      <c r="IDD129" s="18"/>
      <c r="IDE129" s="18"/>
      <c r="IDF129" s="18"/>
      <c r="IDG129" s="18"/>
      <c r="IDH129" s="18"/>
      <c r="IDI129" s="18"/>
      <c r="IDJ129" s="18"/>
      <c r="IDK129" s="18"/>
      <c r="IDL129" s="18"/>
      <c r="IDM129" s="18"/>
      <c r="IDN129" s="18"/>
      <c r="IDO129" s="18"/>
      <c r="IDP129" s="18"/>
      <c r="IDQ129" s="18"/>
      <c r="IDR129" s="18"/>
      <c r="IDS129" s="18"/>
      <c r="IDT129" s="18"/>
      <c r="IDU129" s="18"/>
      <c r="IDV129" s="18"/>
      <c r="IDW129" s="18"/>
      <c r="IDX129" s="18"/>
      <c r="IDY129" s="18"/>
      <c r="IDZ129" s="18"/>
      <c r="IEA129" s="18"/>
      <c r="IEB129" s="18"/>
      <c r="IEC129" s="18"/>
      <c r="IED129" s="18"/>
      <c r="IEE129" s="18"/>
      <c r="IEF129" s="18"/>
      <c r="IEG129" s="18"/>
      <c r="IEH129" s="18"/>
      <c r="IEI129" s="18"/>
      <c r="IEJ129" s="18"/>
      <c r="IEK129" s="18"/>
      <c r="IEL129" s="18"/>
      <c r="IEM129" s="18"/>
      <c r="IEN129" s="18"/>
      <c r="IEO129" s="18"/>
      <c r="IEP129" s="18"/>
      <c r="IEQ129" s="18"/>
      <c r="IER129" s="18"/>
      <c r="IES129" s="18"/>
      <c r="IET129" s="18"/>
      <c r="IEU129" s="18"/>
      <c r="IEV129" s="18"/>
      <c r="IEW129" s="18"/>
      <c r="IEX129" s="18"/>
      <c r="IEY129" s="18"/>
      <c r="IEZ129" s="18"/>
      <c r="IFA129" s="18"/>
      <c r="IFB129" s="18"/>
      <c r="IFC129" s="18"/>
      <c r="IFD129" s="18"/>
      <c r="IFE129" s="18"/>
      <c r="IFF129" s="18"/>
      <c r="IFG129" s="18"/>
      <c r="IFH129" s="18"/>
      <c r="IFI129" s="18"/>
      <c r="IFJ129" s="18"/>
      <c r="IFK129" s="18"/>
      <c r="IFL129" s="18"/>
      <c r="IFM129" s="18"/>
      <c r="IFN129" s="18"/>
      <c r="IFO129" s="18"/>
      <c r="IFP129" s="18"/>
      <c r="IFQ129" s="18"/>
      <c r="IFR129" s="18"/>
      <c r="IFS129" s="18"/>
      <c r="IFT129" s="18"/>
      <c r="IFU129" s="18"/>
      <c r="IFV129" s="18"/>
      <c r="IFW129" s="18"/>
      <c r="IFX129" s="18"/>
      <c r="IFY129" s="18"/>
      <c r="IFZ129" s="18"/>
      <c r="IGA129" s="18"/>
      <c r="IGB129" s="18"/>
      <c r="IGC129" s="18"/>
      <c r="IGD129" s="18"/>
      <c r="IGE129" s="18"/>
      <c r="IGF129" s="18"/>
      <c r="IGG129" s="18"/>
      <c r="IGH129" s="18"/>
      <c r="IGI129" s="18"/>
      <c r="IGJ129" s="18"/>
      <c r="IGK129" s="18"/>
      <c r="IGL129" s="18"/>
      <c r="IGM129" s="18"/>
      <c r="IGN129" s="18"/>
      <c r="IGO129" s="18"/>
      <c r="IGP129" s="18"/>
      <c r="IGQ129" s="18"/>
      <c r="IGR129" s="18"/>
      <c r="IGS129" s="18"/>
      <c r="IGT129" s="18"/>
      <c r="IGU129" s="18"/>
      <c r="IGV129" s="18"/>
      <c r="IGW129" s="18"/>
      <c r="IGX129" s="18"/>
      <c r="IGY129" s="18"/>
      <c r="IGZ129" s="18"/>
      <c r="IHA129" s="18"/>
      <c r="IHB129" s="18"/>
      <c r="IHC129" s="18"/>
      <c r="IHD129" s="18"/>
      <c r="IHE129" s="18"/>
      <c r="IHF129" s="18"/>
      <c r="IHG129" s="18"/>
      <c r="IHH129" s="18"/>
      <c r="IHI129" s="18"/>
      <c r="IHJ129" s="18"/>
      <c r="IHK129" s="18"/>
      <c r="IHL129" s="18"/>
      <c r="IHM129" s="18"/>
      <c r="IHN129" s="18"/>
      <c r="IHO129" s="18"/>
      <c r="IHP129" s="18"/>
      <c r="IHQ129" s="18"/>
      <c r="IHR129" s="18"/>
      <c r="IHS129" s="18"/>
      <c r="IHT129" s="18"/>
      <c r="IHU129" s="18"/>
      <c r="IHV129" s="18"/>
      <c r="IHW129" s="18"/>
      <c r="IHX129" s="18"/>
      <c r="IHY129" s="18"/>
      <c r="IHZ129" s="18"/>
      <c r="IIA129" s="18"/>
      <c r="IIB129" s="18"/>
      <c r="IIC129" s="18"/>
      <c r="IID129" s="18"/>
      <c r="IIE129" s="18"/>
      <c r="IIF129" s="18"/>
      <c r="IIG129" s="18"/>
      <c r="IIH129" s="18"/>
      <c r="III129" s="18"/>
      <c r="IIJ129" s="18"/>
      <c r="IIK129" s="18"/>
      <c r="IIL129" s="18"/>
      <c r="IIM129" s="18"/>
      <c r="IIN129" s="18"/>
      <c r="IIO129" s="18"/>
      <c r="IIP129" s="18"/>
      <c r="IIQ129" s="18"/>
      <c r="IIR129" s="18"/>
      <c r="IIS129" s="18"/>
      <c r="IIT129" s="18"/>
      <c r="IIU129" s="18"/>
      <c r="IIV129" s="18"/>
      <c r="IIW129" s="18"/>
      <c r="IIX129" s="18"/>
      <c r="IIY129" s="18"/>
      <c r="IIZ129" s="18"/>
      <c r="IJA129" s="18"/>
      <c r="IJB129" s="18"/>
      <c r="IJC129" s="18"/>
      <c r="IJD129" s="18"/>
      <c r="IJE129" s="18"/>
      <c r="IJF129" s="18"/>
      <c r="IJG129" s="18"/>
      <c r="IJH129" s="18"/>
      <c r="IJI129" s="18"/>
      <c r="IJJ129" s="18"/>
      <c r="IJK129" s="18"/>
      <c r="IJL129" s="18"/>
      <c r="IJM129" s="18"/>
      <c r="IJN129" s="18"/>
      <c r="IJO129" s="18"/>
      <c r="IJP129" s="18"/>
      <c r="IJQ129" s="18"/>
      <c r="IJR129" s="18"/>
      <c r="IJS129" s="18"/>
      <c r="IJT129" s="18"/>
      <c r="IJU129" s="18"/>
      <c r="IJV129" s="18"/>
      <c r="IJW129" s="18"/>
      <c r="IJX129" s="18"/>
      <c r="IJY129" s="18"/>
      <c r="IJZ129" s="18"/>
      <c r="IKA129" s="18"/>
      <c r="IKB129" s="18"/>
      <c r="IKC129" s="18"/>
      <c r="IKD129" s="18"/>
      <c r="IKE129" s="18"/>
      <c r="IKF129" s="18"/>
      <c r="IKG129" s="18"/>
      <c r="IKH129" s="18"/>
      <c r="IKI129" s="18"/>
      <c r="IKJ129" s="18"/>
      <c r="IKK129" s="18"/>
      <c r="IKL129" s="18"/>
      <c r="IKM129" s="18"/>
      <c r="IKN129" s="18"/>
      <c r="IKO129" s="18"/>
      <c r="IKP129" s="18"/>
      <c r="IKQ129" s="18"/>
      <c r="IKR129" s="18"/>
      <c r="IKS129" s="18"/>
      <c r="IKT129" s="18"/>
      <c r="IKU129" s="18"/>
      <c r="IKV129" s="18"/>
      <c r="IKW129" s="18"/>
      <c r="IKX129" s="18"/>
      <c r="IKY129" s="18"/>
      <c r="IKZ129" s="18"/>
      <c r="ILA129" s="18"/>
      <c r="ILB129" s="18"/>
      <c r="ILC129" s="18"/>
      <c r="ILD129" s="18"/>
      <c r="ILE129" s="18"/>
      <c r="ILF129" s="18"/>
      <c r="ILG129" s="18"/>
      <c r="ILH129" s="18"/>
      <c r="ILI129" s="18"/>
      <c r="ILJ129" s="18"/>
      <c r="ILK129" s="18"/>
      <c r="ILL129" s="18"/>
      <c r="ILM129" s="18"/>
      <c r="ILN129" s="18"/>
      <c r="ILO129" s="18"/>
      <c r="ILP129" s="18"/>
      <c r="ILQ129" s="18"/>
      <c r="ILR129" s="18"/>
      <c r="ILS129" s="18"/>
      <c r="ILT129" s="18"/>
      <c r="ILU129" s="18"/>
      <c r="ILV129" s="18"/>
      <c r="ILW129" s="18"/>
      <c r="ILX129" s="18"/>
      <c r="ILY129" s="18"/>
      <c r="ILZ129" s="18"/>
      <c r="IMA129" s="18"/>
      <c r="IMB129" s="18"/>
      <c r="IMC129" s="18"/>
      <c r="IMD129" s="18"/>
      <c r="IME129" s="18"/>
      <c r="IMF129" s="18"/>
      <c r="IMG129" s="18"/>
      <c r="IMH129" s="18"/>
      <c r="IMI129" s="18"/>
      <c r="IMJ129" s="18"/>
      <c r="IMK129" s="18"/>
      <c r="IML129" s="18"/>
      <c r="IMM129" s="18"/>
      <c r="IMN129" s="18"/>
      <c r="IMO129" s="18"/>
      <c r="IMP129" s="18"/>
      <c r="IMQ129" s="18"/>
      <c r="IMR129" s="18"/>
      <c r="IMS129" s="18"/>
      <c r="IMT129" s="18"/>
      <c r="IMU129" s="18"/>
      <c r="IMV129" s="18"/>
      <c r="IMW129" s="18"/>
      <c r="IMX129" s="18"/>
      <c r="IMY129" s="18"/>
      <c r="IMZ129" s="18"/>
      <c r="INA129" s="18"/>
      <c r="INB129" s="18"/>
      <c r="INC129" s="18"/>
      <c r="IND129" s="18"/>
      <c r="INE129" s="18"/>
      <c r="INF129" s="18"/>
      <c r="ING129" s="18"/>
      <c r="INH129" s="18"/>
      <c r="INI129" s="18"/>
      <c r="INJ129" s="18"/>
      <c r="INK129" s="18"/>
      <c r="INL129" s="18"/>
      <c r="INM129" s="18"/>
      <c r="INN129" s="18"/>
      <c r="INO129" s="18"/>
      <c r="INP129" s="18"/>
      <c r="INQ129" s="18"/>
      <c r="INR129" s="18"/>
      <c r="INS129" s="18"/>
      <c r="INT129" s="18"/>
      <c r="INU129" s="18"/>
      <c r="INV129" s="18"/>
      <c r="INW129" s="18"/>
      <c r="INX129" s="18"/>
      <c r="INY129" s="18"/>
      <c r="INZ129" s="18"/>
      <c r="IOA129" s="18"/>
      <c r="IOB129" s="18"/>
      <c r="IOC129" s="18"/>
      <c r="IOD129" s="18"/>
      <c r="IOE129" s="18"/>
      <c r="IOF129" s="18"/>
      <c r="IOG129" s="18"/>
      <c r="IOH129" s="18"/>
      <c r="IOI129" s="18"/>
      <c r="IOJ129" s="18"/>
      <c r="IOK129" s="18"/>
      <c r="IOL129" s="18"/>
      <c r="IOM129" s="18"/>
      <c r="ION129" s="18"/>
      <c r="IOO129" s="18"/>
      <c r="IOP129" s="18"/>
      <c r="IOQ129" s="18"/>
      <c r="IOR129" s="18"/>
      <c r="IOS129" s="18"/>
      <c r="IOT129" s="18"/>
      <c r="IOU129" s="18"/>
      <c r="IOV129" s="18"/>
      <c r="IOW129" s="18"/>
      <c r="IOX129" s="18"/>
      <c r="IOY129" s="18"/>
      <c r="IOZ129" s="18"/>
      <c r="IPA129" s="18"/>
      <c r="IPB129" s="18"/>
      <c r="IPC129" s="18"/>
      <c r="IPD129" s="18"/>
      <c r="IPE129" s="18"/>
      <c r="IPF129" s="18"/>
      <c r="IPG129" s="18"/>
      <c r="IPH129" s="18"/>
      <c r="IPI129" s="18"/>
      <c r="IPJ129" s="18"/>
      <c r="IPK129" s="18"/>
      <c r="IPL129" s="18"/>
      <c r="IPM129" s="18"/>
      <c r="IPN129" s="18"/>
      <c r="IPO129" s="18"/>
      <c r="IPP129" s="18"/>
      <c r="IPQ129" s="18"/>
      <c r="IPR129" s="18"/>
      <c r="IPS129" s="18"/>
      <c r="IPT129" s="18"/>
      <c r="IPU129" s="18"/>
      <c r="IPV129" s="18"/>
      <c r="IPW129" s="18"/>
      <c r="IPX129" s="18"/>
      <c r="IPY129" s="18"/>
      <c r="IPZ129" s="18"/>
      <c r="IQA129" s="18"/>
      <c r="IQB129" s="18"/>
      <c r="IQC129" s="18"/>
      <c r="IQD129" s="18"/>
      <c r="IQE129" s="18"/>
      <c r="IQF129" s="18"/>
      <c r="IQG129" s="18"/>
      <c r="IQH129" s="18"/>
      <c r="IQI129" s="18"/>
      <c r="IQJ129" s="18"/>
      <c r="IQK129" s="18"/>
      <c r="IQL129" s="18"/>
      <c r="IQM129" s="18"/>
      <c r="IQN129" s="18"/>
      <c r="IQO129" s="18"/>
      <c r="IQP129" s="18"/>
      <c r="IQQ129" s="18"/>
      <c r="IQR129" s="18"/>
      <c r="IQS129" s="18"/>
      <c r="IQT129" s="18"/>
      <c r="IQU129" s="18"/>
      <c r="IQV129" s="18"/>
      <c r="IQW129" s="18"/>
      <c r="IQX129" s="18"/>
      <c r="IQY129" s="18"/>
      <c r="IQZ129" s="18"/>
      <c r="IRA129" s="18"/>
      <c r="IRB129" s="18"/>
      <c r="IRC129" s="18"/>
      <c r="IRD129" s="18"/>
      <c r="IRE129" s="18"/>
      <c r="IRF129" s="18"/>
      <c r="IRG129" s="18"/>
      <c r="IRH129" s="18"/>
      <c r="IRI129" s="18"/>
      <c r="IRJ129" s="18"/>
      <c r="IRK129" s="18"/>
      <c r="IRL129" s="18"/>
      <c r="IRM129" s="18"/>
      <c r="IRN129" s="18"/>
      <c r="IRO129" s="18"/>
      <c r="IRP129" s="18"/>
      <c r="IRQ129" s="18"/>
      <c r="IRR129" s="18"/>
      <c r="IRS129" s="18"/>
      <c r="IRT129" s="18"/>
      <c r="IRU129" s="18"/>
      <c r="IRV129" s="18"/>
      <c r="IRW129" s="18"/>
      <c r="IRX129" s="18"/>
      <c r="IRY129" s="18"/>
      <c r="IRZ129" s="18"/>
      <c r="ISA129" s="18"/>
      <c r="ISB129" s="18"/>
      <c r="ISC129" s="18"/>
      <c r="ISD129" s="18"/>
      <c r="ISE129" s="18"/>
      <c r="ISF129" s="18"/>
      <c r="ISG129" s="18"/>
      <c r="ISH129" s="18"/>
      <c r="ISI129" s="18"/>
      <c r="ISJ129" s="18"/>
      <c r="ISK129" s="18"/>
      <c r="ISL129" s="18"/>
      <c r="ISM129" s="18"/>
      <c r="ISN129" s="18"/>
      <c r="ISO129" s="18"/>
      <c r="ISP129" s="18"/>
      <c r="ISQ129" s="18"/>
      <c r="ISR129" s="18"/>
      <c r="ISS129" s="18"/>
      <c r="IST129" s="18"/>
      <c r="ISU129" s="18"/>
      <c r="ISV129" s="18"/>
      <c r="ISW129" s="18"/>
      <c r="ISX129" s="18"/>
      <c r="ISY129" s="18"/>
      <c r="ISZ129" s="18"/>
      <c r="ITA129" s="18"/>
      <c r="ITB129" s="18"/>
      <c r="ITC129" s="18"/>
      <c r="ITD129" s="18"/>
      <c r="ITE129" s="18"/>
      <c r="ITF129" s="18"/>
      <c r="ITG129" s="18"/>
      <c r="ITH129" s="18"/>
      <c r="ITI129" s="18"/>
      <c r="ITJ129" s="18"/>
      <c r="ITK129" s="18"/>
      <c r="ITL129" s="18"/>
      <c r="ITM129" s="18"/>
      <c r="ITN129" s="18"/>
      <c r="ITO129" s="18"/>
      <c r="ITP129" s="18"/>
      <c r="ITQ129" s="18"/>
      <c r="ITR129" s="18"/>
      <c r="ITS129" s="18"/>
      <c r="ITT129" s="18"/>
      <c r="ITU129" s="18"/>
      <c r="ITV129" s="18"/>
      <c r="ITW129" s="18"/>
      <c r="ITX129" s="18"/>
      <c r="ITY129" s="18"/>
      <c r="ITZ129" s="18"/>
      <c r="IUA129" s="18"/>
      <c r="IUB129" s="18"/>
      <c r="IUC129" s="18"/>
      <c r="IUD129" s="18"/>
      <c r="IUE129" s="18"/>
      <c r="IUF129" s="18"/>
      <c r="IUG129" s="18"/>
      <c r="IUH129" s="18"/>
      <c r="IUI129" s="18"/>
      <c r="IUJ129" s="18"/>
      <c r="IUK129" s="18"/>
      <c r="IUL129" s="18"/>
      <c r="IUM129" s="18"/>
      <c r="IUN129" s="18"/>
      <c r="IUO129" s="18"/>
      <c r="IUP129" s="18"/>
      <c r="IUQ129" s="18"/>
      <c r="IUR129" s="18"/>
      <c r="IUS129" s="18"/>
      <c r="IUT129" s="18"/>
      <c r="IUU129" s="18"/>
      <c r="IUV129" s="18"/>
      <c r="IUW129" s="18"/>
      <c r="IUX129" s="18"/>
      <c r="IUY129" s="18"/>
      <c r="IUZ129" s="18"/>
      <c r="IVA129" s="18"/>
      <c r="IVB129" s="18"/>
      <c r="IVC129" s="18"/>
      <c r="IVD129" s="18"/>
      <c r="IVE129" s="18"/>
      <c r="IVF129" s="18"/>
      <c r="IVG129" s="18"/>
      <c r="IVH129" s="18"/>
      <c r="IVI129" s="18"/>
      <c r="IVJ129" s="18"/>
      <c r="IVK129" s="18"/>
      <c r="IVL129" s="18"/>
      <c r="IVM129" s="18"/>
      <c r="IVN129" s="18"/>
      <c r="IVO129" s="18"/>
      <c r="IVP129" s="18"/>
      <c r="IVQ129" s="18"/>
      <c r="IVR129" s="18"/>
      <c r="IVS129" s="18"/>
      <c r="IVT129" s="18"/>
      <c r="IVU129" s="18"/>
      <c r="IVV129" s="18"/>
      <c r="IVW129" s="18"/>
      <c r="IVX129" s="18"/>
      <c r="IVY129" s="18"/>
      <c r="IVZ129" s="18"/>
      <c r="IWA129" s="18"/>
      <c r="IWB129" s="18"/>
      <c r="IWC129" s="18"/>
      <c r="IWD129" s="18"/>
      <c r="IWE129" s="18"/>
      <c r="IWF129" s="18"/>
      <c r="IWG129" s="18"/>
      <c r="IWH129" s="18"/>
      <c r="IWI129" s="18"/>
      <c r="IWJ129" s="18"/>
      <c r="IWK129" s="18"/>
      <c r="IWL129" s="18"/>
      <c r="IWM129" s="18"/>
      <c r="IWN129" s="18"/>
      <c r="IWO129" s="18"/>
      <c r="IWP129" s="18"/>
      <c r="IWQ129" s="18"/>
      <c r="IWR129" s="18"/>
      <c r="IWS129" s="18"/>
      <c r="IWT129" s="18"/>
      <c r="IWU129" s="18"/>
      <c r="IWV129" s="18"/>
      <c r="IWW129" s="18"/>
      <c r="IWX129" s="18"/>
      <c r="IWY129" s="18"/>
      <c r="IWZ129" s="18"/>
      <c r="IXA129" s="18"/>
      <c r="IXB129" s="18"/>
      <c r="IXC129" s="18"/>
      <c r="IXD129" s="18"/>
      <c r="IXE129" s="18"/>
      <c r="IXF129" s="18"/>
      <c r="IXG129" s="18"/>
      <c r="IXH129" s="18"/>
      <c r="IXI129" s="18"/>
      <c r="IXJ129" s="18"/>
      <c r="IXK129" s="18"/>
      <c r="IXL129" s="18"/>
      <c r="IXM129" s="18"/>
      <c r="IXN129" s="18"/>
      <c r="IXO129" s="18"/>
      <c r="IXP129" s="18"/>
      <c r="IXQ129" s="18"/>
      <c r="IXR129" s="18"/>
      <c r="IXS129" s="18"/>
      <c r="IXT129" s="18"/>
      <c r="IXU129" s="18"/>
      <c r="IXV129" s="18"/>
      <c r="IXW129" s="18"/>
      <c r="IXX129" s="18"/>
      <c r="IXY129" s="18"/>
      <c r="IXZ129" s="18"/>
      <c r="IYA129" s="18"/>
      <c r="IYB129" s="18"/>
      <c r="IYC129" s="18"/>
      <c r="IYD129" s="18"/>
      <c r="IYE129" s="18"/>
      <c r="IYF129" s="18"/>
      <c r="IYG129" s="18"/>
      <c r="IYH129" s="18"/>
      <c r="IYI129" s="18"/>
      <c r="IYJ129" s="18"/>
      <c r="IYK129" s="18"/>
      <c r="IYL129" s="18"/>
      <c r="IYM129" s="18"/>
      <c r="IYN129" s="18"/>
      <c r="IYO129" s="18"/>
      <c r="IYP129" s="18"/>
      <c r="IYQ129" s="18"/>
      <c r="IYR129" s="18"/>
      <c r="IYS129" s="18"/>
      <c r="IYT129" s="18"/>
      <c r="IYU129" s="18"/>
      <c r="IYV129" s="18"/>
      <c r="IYW129" s="18"/>
      <c r="IYX129" s="18"/>
      <c r="IYY129" s="18"/>
      <c r="IYZ129" s="18"/>
      <c r="IZA129" s="18"/>
      <c r="IZB129" s="18"/>
      <c r="IZC129" s="18"/>
      <c r="IZD129" s="18"/>
      <c r="IZE129" s="18"/>
      <c r="IZF129" s="18"/>
      <c r="IZG129" s="18"/>
      <c r="IZH129" s="18"/>
      <c r="IZI129" s="18"/>
      <c r="IZJ129" s="18"/>
      <c r="IZK129" s="18"/>
      <c r="IZL129" s="18"/>
      <c r="IZM129" s="18"/>
      <c r="IZN129" s="18"/>
      <c r="IZO129" s="18"/>
      <c r="IZP129" s="18"/>
      <c r="IZQ129" s="18"/>
      <c r="IZR129" s="18"/>
      <c r="IZS129" s="18"/>
      <c r="IZT129" s="18"/>
      <c r="IZU129" s="18"/>
      <c r="IZV129" s="18"/>
      <c r="IZW129" s="18"/>
      <c r="IZX129" s="18"/>
      <c r="IZY129" s="18"/>
      <c r="IZZ129" s="18"/>
      <c r="JAA129" s="18"/>
      <c r="JAB129" s="18"/>
      <c r="JAC129" s="18"/>
      <c r="JAD129" s="18"/>
      <c r="JAE129" s="18"/>
      <c r="JAF129" s="18"/>
      <c r="JAG129" s="18"/>
      <c r="JAH129" s="18"/>
      <c r="JAI129" s="18"/>
      <c r="JAJ129" s="18"/>
      <c r="JAK129" s="18"/>
      <c r="JAL129" s="18"/>
      <c r="JAM129" s="18"/>
      <c r="JAN129" s="18"/>
      <c r="JAO129" s="18"/>
      <c r="JAP129" s="18"/>
      <c r="JAQ129" s="18"/>
      <c r="JAR129" s="18"/>
      <c r="JAS129" s="18"/>
      <c r="JAT129" s="18"/>
      <c r="JAU129" s="18"/>
      <c r="JAV129" s="18"/>
      <c r="JAW129" s="18"/>
      <c r="JAX129" s="18"/>
      <c r="JAY129" s="18"/>
      <c r="JAZ129" s="18"/>
      <c r="JBA129" s="18"/>
      <c r="JBB129" s="18"/>
      <c r="JBC129" s="18"/>
      <c r="JBD129" s="18"/>
      <c r="JBE129" s="18"/>
      <c r="JBF129" s="18"/>
      <c r="JBG129" s="18"/>
      <c r="JBH129" s="18"/>
      <c r="JBI129" s="18"/>
      <c r="JBJ129" s="18"/>
      <c r="JBK129" s="18"/>
      <c r="JBL129" s="18"/>
      <c r="JBM129" s="18"/>
      <c r="JBN129" s="18"/>
      <c r="JBO129" s="18"/>
      <c r="JBP129" s="18"/>
      <c r="JBQ129" s="18"/>
      <c r="JBR129" s="18"/>
      <c r="JBS129" s="18"/>
      <c r="JBT129" s="18"/>
      <c r="JBU129" s="18"/>
      <c r="JBV129" s="18"/>
      <c r="JBW129" s="18"/>
      <c r="JBX129" s="18"/>
      <c r="JBY129" s="18"/>
      <c r="JBZ129" s="18"/>
      <c r="JCA129" s="18"/>
      <c r="JCB129" s="18"/>
      <c r="JCC129" s="18"/>
      <c r="JCD129" s="18"/>
      <c r="JCE129" s="18"/>
      <c r="JCF129" s="18"/>
      <c r="JCG129" s="18"/>
      <c r="JCH129" s="18"/>
      <c r="JCI129" s="18"/>
      <c r="JCJ129" s="18"/>
      <c r="JCK129" s="18"/>
      <c r="JCL129" s="18"/>
      <c r="JCM129" s="18"/>
      <c r="JCN129" s="18"/>
      <c r="JCO129" s="18"/>
      <c r="JCP129" s="18"/>
      <c r="JCQ129" s="18"/>
      <c r="JCR129" s="18"/>
      <c r="JCS129" s="18"/>
      <c r="JCT129" s="18"/>
      <c r="JCU129" s="18"/>
      <c r="JCV129" s="18"/>
      <c r="JCW129" s="18"/>
      <c r="JCX129" s="18"/>
      <c r="JCY129" s="18"/>
      <c r="JCZ129" s="18"/>
      <c r="JDA129" s="18"/>
      <c r="JDB129" s="18"/>
      <c r="JDC129" s="18"/>
      <c r="JDD129" s="18"/>
      <c r="JDE129" s="18"/>
      <c r="JDF129" s="18"/>
      <c r="JDG129" s="18"/>
      <c r="JDH129" s="18"/>
      <c r="JDI129" s="18"/>
      <c r="JDJ129" s="18"/>
      <c r="JDK129" s="18"/>
      <c r="JDL129" s="18"/>
      <c r="JDM129" s="18"/>
      <c r="JDN129" s="18"/>
      <c r="JDO129" s="18"/>
      <c r="JDP129" s="18"/>
      <c r="JDQ129" s="18"/>
      <c r="JDR129" s="18"/>
      <c r="JDS129" s="18"/>
      <c r="JDT129" s="18"/>
      <c r="JDU129" s="18"/>
      <c r="JDV129" s="18"/>
      <c r="JDW129" s="18"/>
      <c r="JDX129" s="18"/>
      <c r="JDY129" s="18"/>
      <c r="JDZ129" s="18"/>
      <c r="JEA129" s="18"/>
      <c r="JEB129" s="18"/>
      <c r="JEC129" s="18"/>
      <c r="JED129" s="18"/>
      <c r="JEE129" s="18"/>
      <c r="JEF129" s="18"/>
      <c r="JEG129" s="18"/>
      <c r="JEH129" s="18"/>
      <c r="JEI129" s="18"/>
      <c r="JEJ129" s="18"/>
      <c r="JEK129" s="18"/>
      <c r="JEL129" s="18"/>
      <c r="JEM129" s="18"/>
      <c r="JEN129" s="18"/>
      <c r="JEO129" s="18"/>
      <c r="JEP129" s="18"/>
      <c r="JEQ129" s="18"/>
      <c r="JER129" s="18"/>
      <c r="JES129" s="18"/>
      <c r="JET129" s="18"/>
      <c r="JEU129" s="18"/>
      <c r="JEV129" s="18"/>
      <c r="JEW129" s="18"/>
      <c r="JEX129" s="18"/>
      <c r="JEY129" s="18"/>
      <c r="JEZ129" s="18"/>
      <c r="JFA129" s="18"/>
      <c r="JFB129" s="18"/>
      <c r="JFC129" s="18"/>
      <c r="JFD129" s="18"/>
      <c r="JFE129" s="18"/>
      <c r="JFF129" s="18"/>
      <c r="JFG129" s="18"/>
      <c r="JFH129" s="18"/>
      <c r="JFI129" s="18"/>
      <c r="JFJ129" s="18"/>
      <c r="JFK129" s="18"/>
      <c r="JFL129" s="18"/>
      <c r="JFM129" s="18"/>
      <c r="JFN129" s="18"/>
      <c r="JFO129" s="18"/>
      <c r="JFP129" s="18"/>
      <c r="JFQ129" s="18"/>
      <c r="JFR129" s="18"/>
      <c r="JFS129" s="18"/>
      <c r="JFT129" s="18"/>
      <c r="JFU129" s="18"/>
      <c r="JFV129" s="18"/>
      <c r="JFW129" s="18"/>
      <c r="JFX129" s="18"/>
      <c r="JFY129" s="18"/>
      <c r="JFZ129" s="18"/>
      <c r="JGA129" s="18"/>
      <c r="JGB129" s="18"/>
      <c r="JGC129" s="18"/>
      <c r="JGD129" s="18"/>
      <c r="JGE129" s="18"/>
      <c r="JGF129" s="18"/>
      <c r="JGG129" s="18"/>
      <c r="JGH129" s="18"/>
      <c r="JGI129" s="18"/>
      <c r="JGJ129" s="18"/>
      <c r="JGK129" s="18"/>
      <c r="JGL129" s="18"/>
      <c r="JGM129" s="18"/>
      <c r="JGN129" s="18"/>
      <c r="JGO129" s="18"/>
      <c r="JGP129" s="18"/>
      <c r="JGQ129" s="18"/>
      <c r="JGR129" s="18"/>
      <c r="JGS129" s="18"/>
      <c r="JGT129" s="18"/>
      <c r="JGU129" s="18"/>
      <c r="JGV129" s="18"/>
      <c r="JGW129" s="18"/>
      <c r="JGX129" s="18"/>
      <c r="JGY129" s="18"/>
      <c r="JGZ129" s="18"/>
      <c r="JHA129" s="18"/>
      <c r="JHB129" s="18"/>
      <c r="JHC129" s="18"/>
      <c r="JHD129" s="18"/>
      <c r="JHE129" s="18"/>
      <c r="JHF129" s="18"/>
      <c r="JHG129" s="18"/>
      <c r="JHH129" s="18"/>
      <c r="JHI129" s="18"/>
      <c r="JHJ129" s="18"/>
      <c r="JHK129" s="18"/>
      <c r="JHL129" s="18"/>
      <c r="JHM129" s="18"/>
      <c r="JHN129" s="18"/>
      <c r="JHO129" s="18"/>
      <c r="JHP129" s="18"/>
      <c r="JHQ129" s="18"/>
      <c r="JHR129" s="18"/>
      <c r="JHS129" s="18"/>
      <c r="JHT129" s="18"/>
      <c r="JHU129" s="18"/>
      <c r="JHV129" s="18"/>
      <c r="JHW129" s="18"/>
      <c r="JHX129" s="18"/>
      <c r="JHY129" s="18"/>
      <c r="JHZ129" s="18"/>
      <c r="JIA129" s="18"/>
      <c r="JIB129" s="18"/>
      <c r="JIC129" s="18"/>
      <c r="JID129" s="18"/>
      <c r="JIE129" s="18"/>
      <c r="JIF129" s="18"/>
      <c r="JIG129" s="18"/>
      <c r="JIH129" s="18"/>
      <c r="JII129" s="18"/>
      <c r="JIJ129" s="18"/>
      <c r="JIK129" s="18"/>
      <c r="JIL129" s="18"/>
      <c r="JIM129" s="18"/>
      <c r="JIN129" s="18"/>
      <c r="JIO129" s="18"/>
      <c r="JIP129" s="18"/>
      <c r="JIQ129" s="18"/>
      <c r="JIR129" s="18"/>
      <c r="JIS129" s="18"/>
      <c r="JIT129" s="18"/>
      <c r="JIU129" s="18"/>
      <c r="JIV129" s="18"/>
      <c r="JIW129" s="18"/>
      <c r="JIX129" s="18"/>
      <c r="JIY129" s="18"/>
      <c r="JIZ129" s="18"/>
      <c r="JJA129" s="18"/>
      <c r="JJB129" s="18"/>
      <c r="JJC129" s="18"/>
      <c r="JJD129" s="18"/>
      <c r="JJE129" s="18"/>
      <c r="JJF129" s="18"/>
      <c r="JJG129" s="18"/>
      <c r="JJH129" s="18"/>
      <c r="JJI129" s="18"/>
      <c r="JJJ129" s="18"/>
      <c r="JJK129" s="18"/>
      <c r="JJL129" s="18"/>
      <c r="JJM129" s="18"/>
      <c r="JJN129" s="18"/>
      <c r="JJO129" s="18"/>
      <c r="JJP129" s="18"/>
      <c r="JJQ129" s="18"/>
      <c r="JJR129" s="18"/>
      <c r="JJS129" s="18"/>
      <c r="JJT129" s="18"/>
      <c r="JJU129" s="18"/>
      <c r="JJV129" s="18"/>
      <c r="JJW129" s="18"/>
      <c r="JJX129" s="18"/>
      <c r="JJY129" s="18"/>
      <c r="JJZ129" s="18"/>
      <c r="JKA129" s="18"/>
      <c r="JKB129" s="18"/>
      <c r="JKC129" s="18"/>
      <c r="JKD129" s="18"/>
      <c r="JKE129" s="18"/>
      <c r="JKF129" s="18"/>
      <c r="JKG129" s="18"/>
      <c r="JKH129" s="18"/>
      <c r="JKI129" s="18"/>
      <c r="JKJ129" s="18"/>
      <c r="JKK129" s="18"/>
      <c r="JKL129" s="18"/>
      <c r="JKM129" s="18"/>
      <c r="JKN129" s="18"/>
      <c r="JKO129" s="18"/>
      <c r="JKP129" s="18"/>
      <c r="JKQ129" s="18"/>
      <c r="JKR129" s="18"/>
      <c r="JKS129" s="18"/>
      <c r="JKT129" s="18"/>
      <c r="JKU129" s="18"/>
      <c r="JKV129" s="18"/>
      <c r="JKW129" s="18"/>
      <c r="JKX129" s="18"/>
      <c r="JKY129" s="18"/>
      <c r="JKZ129" s="18"/>
      <c r="JLA129" s="18"/>
      <c r="JLB129" s="18"/>
      <c r="JLC129" s="18"/>
      <c r="JLD129" s="18"/>
      <c r="JLE129" s="18"/>
      <c r="JLF129" s="18"/>
      <c r="JLG129" s="18"/>
      <c r="JLH129" s="18"/>
      <c r="JLI129" s="18"/>
      <c r="JLJ129" s="18"/>
      <c r="JLK129" s="18"/>
      <c r="JLL129" s="18"/>
      <c r="JLM129" s="18"/>
      <c r="JLN129" s="18"/>
      <c r="JLO129" s="18"/>
      <c r="JLP129" s="18"/>
      <c r="JLQ129" s="18"/>
      <c r="JLR129" s="18"/>
      <c r="JLS129" s="18"/>
      <c r="JLT129" s="18"/>
      <c r="JLU129" s="18"/>
      <c r="JLV129" s="18"/>
      <c r="JLW129" s="18"/>
      <c r="JLX129" s="18"/>
      <c r="JLY129" s="18"/>
      <c r="JLZ129" s="18"/>
      <c r="JMA129" s="18"/>
      <c r="JMB129" s="18"/>
      <c r="JMC129" s="18"/>
      <c r="JMD129" s="18"/>
      <c r="JME129" s="18"/>
      <c r="JMF129" s="18"/>
      <c r="JMG129" s="18"/>
      <c r="JMH129" s="18"/>
      <c r="JMI129" s="18"/>
      <c r="JMJ129" s="18"/>
      <c r="JMK129" s="18"/>
      <c r="JML129" s="18"/>
      <c r="JMM129" s="18"/>
      <c r="JMN129" s="18"/>
      <c r="JMO129" s="18"/>
      <c r="JMP129" s="18"/>
      <c r="JMQ129" s="18"/>
      <c r="JMR129" s="18"/>
      <c r="JMS129" s="18"/>
      <c r="JMT129" s="18"/>
      <c r="JMU129" s="18"/>
      <c r="JMV129" s="18"/>
      <c r="JMW129" s="18"/>
      <c r="JMX129" s="18"/>
      <c r="JMY129" s="18"/>
      <c r="JMZ129" s="18"/>
      <c r="JNA129" s="18"/>
      <c r="JNB129" s="18"/>
      <c r="JNC129" s="18"/>
      <c r="JND129" s="18"/>
      <c r="JNE129" s="18"/>
      <c r="JNF129" s="18"/>
      <c r="JNG129" s="18"/>
      <c r="JNH129" s="18"/>
      <c r="JNI129" s="18"/>
      <c r="JNJ129" s="18"/>
      <c r="JNK129" s="18"/>
      <c r="JNL129" s="18"/>
      <c r="JNM129" s="18"/>
      <c r="JNN129" s="18"/>
      <c r="JNO129" s="18"/>
      <c r="JNP129" s="18"/>
      <c r="JNQ129" s="18"/>
      <c r="JNR129" s="18"/>
      <c r="JNS129" s="18"/>
      <c r="JNT129" s="18"/>
      <c r="JNU129" s="18"/>
      <c r="JNV129" s="18"/>
      <c r="JNW129" s="18"/>
      <c r="JNX129" s="18"/>
      <c r="JNY129" s="18"/>
      <c r="JNZ129" s="18"/>
      <c r="JOA129" s="18"/>
      <c r="JOB129" s="18"/>
      <c r="JOC129" s="18"/>
      <c r="JOD129" s="18"/>
      <c r="JOE129" s="18"/>
      <c r="JOF129" s="18"/>
      <c r="JOG129" s="18"/>
      <c r="JOH129" s="18"/>
      <c r="JOI129" s="18"/>
      <c r="JOJ129" s="18"/>
      <c r="JOK129" s="18"/>
      <c r="JOL129" s="18"/>
      <c r="JOM129" s="18"/>
      <c r="JON129" s="18"/>
      <c r="JOO129" s="18"/>
      <c r="JOP129" s="18"/>
      <c r="JOQ129" s="18"/>
      <c r="JOR129" s="18"/>
      <c r="JOS129" s="18"/>
      <c r="JOT129" s="18"/>
      <c r="JOU129" s="18"/>
      <c r="JOV129" s="18"/>
      <c r="JOW129" s="18"/>
      <c r="JOX129" s="18"/>
      <c r="JOY129" s="18"/>
      <c r="JOZ129" s="18"/>
      <c r="JPA129" s="18"/>
      <c r="JPB129" s="18"/>
      <c r="JPC129" s="18"/>
      <c r="JPD129" s="18"/>
      <c r="JPE129" s="18"/>
      <c r="JPF129" s="18"/>
      <c r="JPG129" s="18"/>
      <c r="JPH129" s="18"/>
      <c r="JPI129" s="18"/>
      <c r="JPJ129" s="18"/>
      <c r="JPK129" s="18"/>
      <c r="JPL129" s="18"/>
      <c r="JPM129" s="18"/>
      <c r="JPN129" s="18"/>
      <c r="JPO129" s="18"/>
      <c r="JPP129" s="18"/>
      <c r="JPQ129" s="18"/>
      <c r="JPR129" s="18"/>
      <c r="JPS129" s="18"/>
      <c r="JPT129" s="18"/>
      <c r="JPU129" s="18"/>
      <c r="JPV129" s="18"/>
      <c r="JPW129" s="18"/>
      <c r="JPX129" s="18"/>
      <c r="JPY129" s="18"/>
      <c r="JPZ129" s="18"/>
      <c r="JQA129" s="18"/>
      <c r="JQB129" s="18"/>
      <c r="JQC129" s="18"/>
      <c r="JQD129" s="18"/>
      <c r="JQE129" s="18"/>
      <c r="JQF129" s="18"/>
      <c r="JQG129" s="18"/>
      <c r="JQH129" s="18"/>
      <c r="JQI129" s="18"/>
      <c r="JQJ129" s="18"/>
      <c r="JQK129" s="18"/>
      <c r="JQL129" s="18"/>
      <c r="JQM129" s="18"/>
      <c r="JQN129" s="18"/>
      <c r="JQO129" s="18"/>
      <c r="JQP129" s="18"/>
      <c r="JQQ129" s="18"/>
      <c r="JQR129" s="18"/>
      <c r="JQS129" s="18"/>
      <c r="JQT129" s="18"/>
      <c r="JQU129" s="18"/>
      <c r="JQV129" s="18"/>
      <c r="JQW129" s="18"/>
      <c r="JQX129" s="18"/>
      <c r="JQY129" s="18"/>
      <c r="JQZ129" s="18"/>
      <c r="JRA129" s="18"/>
      <c r="JRB129" s="18"/>
      <c r="JRC129" s="18"/>
      <c r="JRD129" s="18"/>
      <c r="JRE129" s="18"/>
      <c r="JRF129" s="18"/>
      <c r="JRG129" s="18"/>
      <c r="JRH129" s="18"/>
      <c r="JRI129" s="18"/>
      <c r="JRJ129" s="18"/>
      <c r="JRK129" s="18"/>
      <c r="JRL129" s="18"/>
      <c r="JRM129" s="18"/>
      <c r="JRN129" s="18"/>
      <c r="JRO129" s="18"/>
      <c r="JRP129" s="18"/>
      <c r="JRQ129" s="18"/>
      <c r="JRR129" s="18"/>
      <c r="JRS129" s="18"/>
      <c r="JRT129" s="18"/>
      <c r="JRU129" s="18"/>
      <c r="JRV129" s="18"/>
      <c r="JRW129" s="18"/>
      <c r="JRX129" s="18"/>
      <c r="JRY129" s="18"/>
      <c r="JRZ129" s="18"/>
      <c r="JSA129" s="18"/>
      <c r="JSB129" s="18"/>
      <c r="JSC129" s="18"/>
      <c r="JSD129" s="18"/>
      <c r="JSE129" s="18"/>
      <c r="JSF129" s="18"/>
      <c r="JSG129" s="18"/>
      <c r="JSH129" s="18"/>
      <c r="JSI129" s="18"/>
      <c r="JSJ129" s="18"/>
      <c r="JSK129" s="18"/>
      <c r="JSL129" s="18"/>
      <c r="JSM129" s="18"/>
      <c r="JSN129" s="18"/>
      <c r="JSO129" s="18"/>
      <c r="JSP129" s="18"/>
      <c r="JSQ129" s="18"/>
      <c r="JSR129" s="18"/>
      <c r="JSS129" s="18"/>
      <c r="JST129" s="18"/>
      <c r="JSU129" s="18"/>
      <c r="JSV129" s="18"/>
      <c r="JSW129" s="18"/>
      <c r="JSX129" s="18"/>
      <c r="JSY129" s="18"/>
      <c r="JSZ129" s="18"/>
      <c r="JTA129" s="18"/>
      <c r="JTB129" s="18"/>
      <c r="JTC129" s="18"/>
      <c r="JTD129" s="18"/>
      <c r="JTE129" s="18"/>
      <c r="JTF129" s="18"/>
      <c r="JTG129" s="18"/>
      <c r="JTH129" s="18"/>
      <c r="JTI129" s="18"/>
      <c r="JTJ129" s="18"/>
      <c r="JTK129" s="18"/>
      <c r="JTL129" s="18"/>
      <c r="JTM129" s="18"/>
      <c r="JTN129" s="18"/>
      <c r="JTO129" s="18"/>
      <c r="JTP129" s="18"/>
      <c r="JTQ129" s="18"/>
      <c r="JTR129" s="18"/>
      <c r="JTS129" s="18"/>
      <c r="JTT129" s="18"/>
      <c r="JTU129" s="18"/>
      <c r="JTV129" s="18"/>
      <c r="JTW129" s="18"/>
      <c r="JTX129" s="18"/>
      <c r="JTY129" s="18"/>
      <c r="JTZ129" s="18"/>
      <c r="JUA129" s="18"/>
      <c r="JUB129" s="18"/>
      <c r="JUC129" s="18"/>
      <c r="JUD129" s="18"/>
      <c r="JUE129" s="18"/>
      <c r="JUF129" s="18"/>
      <c r="JUG129" s="18"/>
      <c r="JUH129" s="18"/>
      <c r="JUI129" s="18"/>
      <c r="JUJ129" s="18"/>
      <c r="JUK129" s="18"/>
      <c r="JUL129" s="18"/>
      <c r="JUM129" s="18"/>
      <c r="JUN129" s="18"/>
      <c r="JUO129" s="18"/>
      <c r="JUP129" s="18"/>
      <c r="JUQ129" s="18"/>
      <c r="JUR129" s="18"/>
      <c r="JUS129" s="18"/>
      <c r="JUT129" s="18"/>
      <c r="JUU129" s="18"/>
      <c r="JUV129" s="18"/>
      <c r="JUW129" s="18"/>
      <c r="JUX129" s="18"/>
      <c r="JUY129" s="18"/>
      <c r="JUZ129" s="18"/>
      <c r="JVA129" s="18"/>
      <c r="JVB129" s="18"/>
      <c r="JVC129" s="18"/>
      <c r="JVD129" s="18"/>
      <c r="JVE129" s="18"/>
      <c r="JVF129" s="18"/>
      <c r="JVG129" s="18"/>
      <c r="JVH129" s="18"/>
      <c r="JVI129" s="18"/>
      <c r="JVJ129" s="18"/>
      <c r="JVK129" s="18"/>
      <c r="JVL129" s="18"/>
      <c r="JVM129" s="18"/>
      <c r="JVN129" s="18"/>
      <c r="JVO129" s="18"/>
      <c r="JVP129" s="18"/>
      <c r="JVQ129" s="18"/>
      <c r="JVR129" s="18"/>
      <c r="JVS129" s="18"/>
      <c r="JVT129" s="18"/>
      <c r="JVU129" s="18"/>
      <c r="JVV129" s="18"/>
      <c r="JVW129" s="18"/>
      <c r="JVX129" s="18"/>
      <c r="JVY129" s="18"/>
      <c r="JVZ129" s="18"/>
      <c r="JWA129" s="18"/>
      <c r="JWB129" s="18"/>
      <c r="JWC129" s="18"/>
      <c r="JWD129" s="18"/>
      <c r="JWE129" s="18"/>
      <c r="JWF129" s="18"/>
      <c r="JWG129" s="18"/>
      <c r="JWH129" s="18"/>
      <c r="JWI129" s="18"/>
      <c r="JWJ129" s="18"/>
      <c r="JWK129" s="18"/>
      <c r="JWL129" s="18"/>
      <c r="JWM129" s="18"/>
      <c r="JWN129" s="18"/>
      <c r="JWO129" s="18"/>
      <c r="JWP129" s="18"/>
      <c r="JWQ129" s="18"/>
      <c r="JWR129" s="18"/>
      <c r="JWS129" s="18"/>
      <c r="JWT129" s="18"/>
      <c r="JWU129" s="18"/>
      <c r="JWV129" s="18"/>
      <c r="JWW129" s="18"/>
      <c r="JWX129" s="18"/>
      <c r="JWY129" s="18"/>
      <c r="JWZ129" s="18"/>
      <c r="JXA129" s="18"/>
      <c r="JXB129" s="18"/>
      <c r="JXC129" s="18"/>
      <c r="JXD129" s="18"/>
      <c r="JXE129" s="18"/>
      <c r="JXF129" s="18"/>
      <c r="JXG129" s="18"/>
      <c r="JXH129" s="18"/>
      <c r="JXI129" s="18"/>
      <c r="JXJ129" s="18"/>
      <c r="JXK129" s="18"/>
      <c r="JXL129" s="18"/>
      <c r="JXM129" s="18"/>
      <c r="JXN129" s="18"/>
      <c r="JXO129" s="18"/>
      <c r="JXP129" s="18"/>
      <c r="JXQ129" s="18"/>
      <c r="JXR129" s="18"/>
      <c r="JXS129" s="18"/>
      <c r="JXT129" s="18"/>
      <c r="JXU129" s="18"/>
      <c r="JXV129" s="18"/>
      <c r="JXW129" s="18"/>
      <c r="JXX129" s="18"/>
      <c r="JXY129" s="18"/>
      <c r="JXZ129" s="18"/>
      <c r="JYA129" s="18"/>
      <c r="JYB129" s="18"/>
      <c r="JYC129" s="18"/>
      <c r="JYD129" s="18"/>
      <c r="JYE129" s="18"/>
      <c r="JYF129" s="18"/>
      <c r="JYG129" s="18"/>
      <c r="JYH129" s="18"/>
      <c r="JYI129" s="18"/>
      <c r="JYJ129" s="18"/>
      <c r="JYK129" s="18"/>
      <c r="JYL129" s="18"/>
      <c r="JYM129" s="18"/>
      <c r="JYN129" s="18"/>
      <c r="JYO129" s="18"/>
      <c r="JYP129" s="18"/>
      <c r="JYQ129" s="18"/>
      <c r="JYR129" s="18"/>
      <c r="JYS129" s="18"/>
      <c r="JYT129" s="18"/>
      <c r="JYU129" s="18"/>
      <c r="JYV129" s="18"/>
      <c r="JYW129" s="18"/>
      <c r="JYX129" s="18"/>
      <c r="JYY129" s="18"/>
      <c r="JYZ129" s="18"/>
      <c r="JZA129" s="18"/>
      <c r="JZB129" s="18"/>
      <c r="JZC129" s="18"/>
      <c r="JZD129" s="18"/>
      <c r="JZE129" s="18"/>
      <c r="JZF129" s="18"/>
      <c r="JZG129" s="18"/>
      <c r="JZH129" s="18"/>
      <c r="JZI129" s="18"/>
      <c r="JZJ129" s="18"/>
      <c r="JZK129" s="18"/>
      <c r="JZL129" s="18"/>
      <c r="JZM129" s="18"/>
      <c r="JZN129" s="18"/>
      <c r="JZO129" s="18"/>
      <c r="JZP129" s="18"/>
      <c r="JZQ129" s="18"/>
      <c r="JZR129" s="18"/>
      <c r="JZS129" s="18"/>
      <c r="JZT129" s="18"/>
      <c r="JZU129" s="18"/>
      <c r="JZV129" s="18"/>
      <c r="JZW129" s="18"/>
      <c r="JZX129" s="18"/>
      <c r="JZY129" s="18"/>
      <c r="JZZ129" s="18"/>
      <c r="KAA129" s="18"/>
      <c r="KAB129" s="18"/>
      <c r="KAC129" s="18"/>
      <c r="KAD129" s="18"/>
      <c r="KAE129" s="18"/>
      <c r="KAF129" s="18"/>
      <c r="KAG129" s="18"/>
      <c r="KAH129" s="18"/>
      <c r="KAI129" s="18"/>
      <c r="KAJ129" s="18"/>
      <c r="KAK129" s="18"/>
      <c r="KAL129" s="18"/>
      <c r="KAM129" s="18"/>
      <c r="KAN129" s="18"/>
      <c r="KAO129" s="18"/>
      <c r="KAP129" s="18"/>
      <c r="KAQ129" s="18"/>
      <c r="KAR129" s="18"/>
      <c r="KAS129" s="18"/>
      <c r="KAT129" s="18"/>
      <c r="KAU129" s="18"/>
      <c r="KAV129" s="18"/>
      <c r="KAW129" s="18"/>
      <c r="KAX129" s="18"/>
      <c r="KAY129" s="18"/>
      <c r="KAZ129" s="18"/>
      <c r="KBA129" s="18"/>
      <c r="KBB129" s="18"/>
      <c r="KBC129" s="18"/>
      <c r="KBD129" s="18"/>
      <c r="KBE129" s="18"/>
      <c r="KBF129" s="18"/>
      <c r="KBG129" s="18"/>
      <c r="KBH129" s="18"/>
      <c r="KBI129" s="18"/>
      <c r="KBJ129" s="18"/>
      <c r="KBK129" s="18"/>
      <c r="KBL129" s="18"/>
      <c r="KBM129" s="18"/>
      <c r="KBN129" s="18"/>
      <c r="KBO129" s="18"/>
      <c r="KBP129" s="18"/>
      <c r="KBQ129" s="18"/>
      <c r="KBR129" s="18"/>
      <c r="KBS129" s="18"/>
      <c r="KBT129" s="18"/>
      <c r="KBU129" s="18"/>
      <c r="KBV129" s="18"/>
      <c r="KBW129" s="18"/>
      <c r="KBX129" s="18"/>
      <c r="KBY129" s="18"/>
      <c r="KBZ129" s="18"/>
      <c r="KCA129" s="18"/>
      <c r="KCB129" s="18"/>
      <c r="KCC129" s="18"/>
      <c r="KCD129" s="18"/>
      <c r="KCE129" s="18"/>
      <c r="KCF129" s="18"/>
      <c r="KCG129" s="18"/>
      <c r="KCH129" s="18"/>
      <c r="KCI129" s="18"/>
      <c r="KCJ129" s="18"/>
      <c r="KCK129" s="18"/>
      <c r="KCL129" s="18"/>
      <c r="KCM129" s="18"/>
      <c r="KCN129" s="18"/>
      <c r="KCO129" s="18"/>
      <c r="KCP129" s="18"/>
      <c r="KCQ129" s="18"/>
      <c r="KCR129" s="18"/>
      <c r="KCS129" s="18"/>
      <c r="KCT129" s="18"/>
      <c r="KCU129" s="18"/>
      <c r="KCV129" s="18"/>
      <c r="KCW129" s="18"/>
      <c r="KCX129" s="18"/>
      <c r="KCY129" s="18"/>
      <c r="KCZ129" s="18"/>
      <c r="KDA129" s="18"/>
      <c r="KDB129" s="18"/>
      <c r="KDC129" s="18"/>
      <c r="KDD129" s="18"/>
      <c r="KDE129" s="18"/>
      <c r="KDF129" s="18"/>
      <c r="KDG129" s="18"/>
      <c r="KDH129" s="18"/>
      <c r="KDI129" s="18"/>
      <c r="KDJ129" s="18"/>
      <c r="KDK129" s="18"/>
      <c r="KDL129" s="18"/>
      <c r="KDM129" s="18"/>
      <c r="KDN129" s="18"/>
      <c r="KDO129" s="18"/>
      <c r="KDP129" s="18"/>
      <c r="KDQ129" s="18"/>
      <c r="KDR129" s="18"/>
      <c r="KDS129" s="18"/>
      <c r="KDT129" s="18"/>
      <c r="KDU129" s="18"/>
      <c r="KDV129" s="18"/>
      <c r="KDW129" s="18"/>
      <c r="KDX129" s="18"/>
      <c r="KDY129" s="18"/>
      <c r="KDZ129" s="18"/>
      <c r="KEA129" s="18"/>
      <c r="KEB129" s="18"/>
      <c r="KEC129" s="18"/>
      <c r="KED129" s="18"/>
      <c r="KEE129" s="18"/>
      <c r="KEF129" s="18"/>
      <c r="KEG129" s="18"/>
      <c r="KEH129" s="18"/>
      <c r="KEI129" s="18"/>
      <c r="KEJ129" s="18"/>
      <c r="KEK129" s="18"/>
      <c r="KEL129" s="18"/>
      <c r="KEM129" s="18"/>
      <c r="KEN129" s="18"/>
      <c r="KEO129" s="18"/>
      <c r="KEP129" s="18"/>
      <c r="KEQ129" s="18"/>
      <c r="KER129" s="18"/>
      <c r="KES129" s="18"/>
      <c r="KET129" s="18"/>
      <c r="KEU129" s="18"/>
      <c r="KEV129" s="18"/>
      <c r="KEW129" s="18"/>
      <c r="KEX129" s="18"/>
      <c r="KEY129" s="18"/>
      <c r="KEZ129" s="18"/>
      <c r="KFA129" s="18"/>
      <c r="KFB129" s="18"/>
      <c r="KFC129" s="18"/>
      <c r="KFD129" s="18"/>
      <c r="KFE129" s="18"/>
      <c r="KFF129" s="18"/>
      <c r="KFG129" s="18"/>
      <c r="KFH129" s="18"/>
      <c r="KFI129" s="18"/>
      <c r="KFJ129" s="18"/>
      <c r="KFK129" s="18"/>
      <c r="KFL129" s="18"/>
      <c r="KFM129" s="18"/>
      <c r="KFN129" s="18"/>
      <c r="KFO129" s="18"/>
      <c r="KFP129" s="18"/>
      <c r="KFQ129" s="18"/>
      <c r="KFR129" s="18"/>
      <c r="KFS129" s="18"/>
      <c r="KFT129" s="18"/>
      <c r="KFU129" s="18"/>
      <c r="KFV129" s="18"/>
      <c r="KFW129" s="18"/>
      <c r="KFX129" s="18"/>
      <c r="KFY129" s="18"/>
      <c r="KFZ129" s="18"/>
      <c r="KGA129" s="18"/>
      <c r="KGB129" s="18"/>
      <c r="KGC129" s="18"/>
      <c r="KGD129" s="18"/>
      <c r="KGE129" s="18"/>
      <c r="KGF129" s="18"/>
      <c r="KGG129" s="18"/>
      <c r="KGH129" s="18"/>
      <c r="KGI129" s="18"/>
      <c r="KGJ129" s="18"/>
      <c r="KGK129" s="18"/>
      <c r="KGL129" s="18"/>
      <c r="KGM129" s="18"/>
      <c r="KGN129" s="18"/>
      <c r="KGO129" s="18"/>
      <c r="KGP129" s="18"/>
      <c r="KGQ129" s="18"/>
      <c r="KGR129" s="18"/>
      <c r="KGS129" s="18"/>
      <c r="KGT129" s="18"/>
      <c r="KGU129" s="18"/>
      <c r="KGV129" s="18"/>
      <c r="KGW129" s="18"/>
      <c r="KGX129" s="18"/>
      <c r="KGY129" s="18"/>
      <c r="KGZ129" s="18"/>
      <c r="KHA129" s="18"/>
      <c r="KHB129" s="18"/>
      <c r="KHC129" s="18"/>
      <c r="KHD129" s="18"/>
      <c r="KHE129" s="18"/>
      <c r="KHF129" s="18"/>
      <c r="KHG129" s="18"/>
      <c r="KHH129" s="18"/>
      <c r="KHI129" s="18"/>
      <c r="KHJ129" s="18"/>
      <c r="KHK129" s="18"/>
      <c r="KHL129" s="18"/>
      <c r="KHM129" s="18"/>
      <c r="KHN129" s="18"/>
      <c r="KHO129" s="18"/>
      <c r="KHP129" s="18"/>
      <c r="KHQ129" s="18"/>
      <c r="KHR129" s="18"/>
      <c r="KHS129" s="18"/>
      <c r="KHT129" s="18"/>
      <c r="KHU129" s="18"/>
      <c r="KHV129" s="18"/>
      <c r="KHW129" s="18"/>
      <c r="KHX129" s="18"/>
      <c r="KHY129" s="18"/>
      <c r="KHZ129" s="18"/>
      <c r="KIA129" s="18"/>
      <c r="KIB129" s="18"/>
      <c r="KIC129" s="18"/>
      <c r="KID129" s="18"/>
      <c r="KIE129" s="18"/>
      <c r="KIF129" s="18"/>
      <c r="KIG129" s="18"/>
      <c r="KIH129" s="18"/>
      <c r="KII129" s="18"/>
      <c r="KIJ129" s="18"/>
      <c r="KIK129" s="18"/>
      <c r="KIL129" s="18"/>
      <c r="KIM129" s="18"/>
      <c r="KIN129" s="18"/>
      <c r="KIO129" s="18"/>
      <c r="KIP129" s="18"/>
      <c r="KIQ129" s="18"/>
      <c r="KIR129" s="18"/>
      <c r="KIS129" s="18"/>
      <c r="KIT129" s="18"/>
      <c r="KIU129" s="18"/>
      <c r="KIV129" s="18"/>
      <c r="KIW129" s="18"/>
      <c r="KIX129" s="18"/>
      <c r="KIY129" s="18"/>
      <c r="KIZ129" s="18"/>
      <c r="KJA129" s="18"/>
      <c r="KJB129" s="18"/>
      <c r="KJC129" s="18"/>
      <c r="KJD129" s="18"/>
      <c r="KJE129" s="18"/>
      <c r="KJF129" s="18"/>
      <c r="KJG129" s="18"/>
      <c r="KJH129" s="18"/>
      <c r="KJI129" s="18"/>
      <c r="KJJ129" s="18"/>
      <c r="KJK129" s="18"/>
      <c r="KJL129" s="18"/>
      <c r="KJM129" s="18"/>
      <c r="KJN129" s="18"/>
      <c r="KJO129" s="18"/>
      <c r="KJP129" s="18"/>
      <c r="KJQ129" s="18"/>
      <c r="KJR129" s="18"/>
      <c r="KJS129" s="18"/>
      <c r="KJT129" s="18"/>
      <c r="KJU129" s="18"/>
      <c r="KJV129" s="18"/>
      <c r="KJW129" s="18"/>
      <c r="KJX129" s="18"/>
      <c r="KJY129" s="18"/>
      <c r="KJZ129" s="18"/>
      <c r="KKA129" s="18"/>
      <c r="KKB129" s="18"/>
      <c r="KKC129" s="18"/>
      <c r="KKD129" s="18"/>
      <c r="KKE129" s="18"/>
      <c r="KKF129" s="18"/>
      <c r="KKG129" s="18"/>
      <c r="KKH129" s="18"/>
      <c r="KKI129" s="18"/>
      <c r="KKJ129" s="18"/>
      <c r="KKK129" s="18"/>
      <c r="KKL129" s="18"/>
      <c r="KKM129" s="18"/>
      <c r="KKN129" s="18"/>
      <c r="KKO129" s="18"/>
      <c r="KKP129" s="18"/>
      <c r="KKQ129" s="18"/>
      <c r="KKR129" s="18"/>
      <c r="KKS129" s="18"/>
      <c r="KKT129" s="18"/>
      <c r="KKU129" s="18"/>
      <c r="KKV129" s="18"/>
      <c r="KKW129" s="18"/>
      <c r="KKX129" s="18"/>
      <c r="KKY129" s="18"/>
      <c r="KKZ129" s="18"/>
      <c r="KLA129" s="18"/>
      <c r="KLB129" s="18"/>
      <c r="KLC129" s="18"/>
      <c r="KLD129" s="18"/>
      <c r="KLE129" s="18"/>
      <c r="KLF129" s="18"/>
      <c r="KLG129" s="18"/>
      <c r="KLH129" s="18"/>
      <c r="KLI129" s="18"/>
      <c r="KLJ129" s="18"/>
      <c r="KLK129" s="18"/>
      <c r="KLL129" s="18"/>
      <c r="KLM129" s="18"/>
      <c r="KLN129" s="18"/>
      <c r="KLO129" s="18"/>
      <c r="KLP129" s="18"/>
      <c r="KLQ129" s="18"/>
      <c r="KLR129" s="18"/>
      <c r="KLS129" s="18"/>
      <c r="KLT129" s="18"/>
      <c r="KLU129" s="18"/>
      <c r="KLV129" s="18"/>
      <c r="KLW129" s="18"/>
      <c r="KLX129" s="18"/>
      <c r="KLY129" s="18"/>
      <c r="KLZ129" s="18"/>
      <c r="KMA129" s="18"/>
      <c r="KMB129" s="18"/>
      <c r="KMC129" s="18"/>
      <c r="KMD129" s="18"/>
      <c r="KME129" s="18"/>
      <c r="KMF129" s="18"/>
      <c r="KMG129" s="18"/>
      <c r="KMH129" s="18"/>
      <c r="KMI129" s="18"/>
      <c r="KMJ129" s="18"/>
      <c r="KMK129" s="18"/>
      <c r="KML129" s="18"/>
      <c r="KMM129" s="18"/>
      <c r="KMN129" s="18"/>
      <c r="KMO129" s="18"/>
      <c r="KMP129" s="18"/>
      <c r="KMQ129" s="18"/>
      <c r="KMR129" s="18"/>
      <c r="KMS129" s="18"/>
      <c r="KMT129" s="18"/>
      <c r="KMU129" s="18"/>
      <c r="KMV129" s="18"/>
      <c r="KMW129" s="18"/>
      <c r="KMX129" s="18"/>
      <c r="KMY129" s="18"/>
      <c r="KMZ129" s="18"/>
      <c r="KNA129" s="18"/>
      <c r="KNB129" s="18"/>
      <c r="KNC129" s="18"/>
      <c r="KND129" s="18"/>
      <c r="KNE129" s="18"/>
      <c r="KNF129" s="18"/>
      <c r="KNG129" s="18"/>
      <c r="KNH129" s="18"/>
      <c r="KNI129" s="18"/>
      <c r="KNJ129" s="18"/>
      <c r="KNK129" s="18"/>
      <c r="KNL129" s="18"/>
      <c r="KNM129" s="18"/>
      <c r="KNN129" s="18"/>
      <c r="KNO129" s="18"/>
      <c r="KNP129" s="18"/>
      <c r="KNQ129" s="18"/>
      <c r="KNR129" s="18"/>
      <c r="KNS129" s="18"/>
      <c r="KNT129" s="18"/>
      <c r="KNU129" s="18"/>
      <c r="KNV129" s="18"/>
      <c r="KNW129" s="18"/>
      <c r="KNX129" s="18"/>
      <c r="KNY129" s="18"/>
      <c r="KNZ129" s="18"/>
      <c r="KOA129" s="18"/>
      <c r="KOB129" s="18"/>
      <c r="KOC129" s="18"/>
      <c r="KOD129" s="18"/>
      <c r="KOE129" s="18"/>
      <c r="KOF129" s="18"/>
      <c r="KOG129" s="18"/>
      <c r="KOH129" s="18"/>
      <c r="KOI129" s="18"/>
      <c r="KOJ129" s="18"/>
      <c r="KOK129" s="18"/>
      <c r="KOL129" s="18"/>
      <c r="KOM129" s="18"/>
      <c r="KON129" s="18"/>
      <c r="KOO129" s="18"/>
      <c r="KOP129" s="18"/>
      <c r="KOQ129" s="18"/>
      <c r="KOR129" s="18"/>
      <c r="KOS129" s="18"/>
      <c r="KOT129" s="18"/>
      <c r="KOU129" s="18"/>
      <c r="KOV129" s="18"/>
      <c r="KOW129" s="18"/>
      <c r="KOX129" s="18"/>
      <c r="KOY129" s="18"/>
      <c r="KOZ129" s="18"/>
      <c r="KPA129" s="18"/>
      <c r="KPB129" s="18"/>
      <c r="KPC129" s="18"/>
      <c r="KPD129" s="18"/>
      <c r="KPE129" s="18"/>
      <c r="KPF129" s="18"/>
      <c r="KPG129" s="18"/>
      <c r="KPH129" s="18"/>
      <c r="KPI129" s="18"/>
      <c r="KPJ129" s="18"/>
      <c r="KPK129" s="18"/>
      <c r="KPL129" s="18"/>
      <c r="KPM129" s="18"/>
      <c r="KPN129" s="18"/>
      <c r="KPO129" s="18"/>
      <c r="KPP129" s="18"/>
      <c r="KPQ129" s="18"/>
      <c r="KPR129" s="18"/>
      <c r="KPS129" s="18"/>
      <c r="KPT129" s="18"/>
      <c r="KPU129" s="18"/>
      <c r="KPV129" s="18"/>
      <c r="KPW129" s="18"/>
      <c r="KPX129" s="18"/>
      <c r="KPY129" s="18"/>
      <c r="KPZ129" s="18"/>
      <c r="KQA129" s="18"/>
      <c r="KQB129" s="18"/>
      <c r="KQC129" s="18"/>
      <c r="KQD129" s="18"/>
      <c r="KQE129" s="18"/>
      <c r="KQF129" s="18"/>
      <c r="KQG129" s="18"/>
      <c r="KQH129" s="18"/>
      <c r="KQI129" s="18"/>
      <c r="KQJ129" s="18"/>
      <c r="KQK129" s="18"/>
      <c r="KQL129" s="18"/>
      <c r="KQM129" s="18"/>
      <c r="KQN129" s="18"/>
      <c r="KQO129" s="18"/>
      <c r="KQP129" s="18"/>
      <c r="KQQ129" s="18"/>
      <c r="KQR129" s="18"/>
      <c r="KQS129" s="18"/>
      <c r="KQT129" s="18"/>
      <c r="KQU129" s="18"/>
      <c r="KQV129" s="18"/>
      <c r="KQW129" s="18"/>
      <c r="KQX129" s="18"/>
      <c r="KQY129" s="18"/>
      <c r="KQZ129" s="18"/>
      <c r="KRA129" s="18"/>
      <c r="KRB129" s="18"/>
      <c r="KRC129" s="18"/>
      <c r="KRD129" s="18"/>
      <c r="KRE129" s="18"/>
      <c r="KRF129" s="18"/>
      <c r="KRG129" s="18"/>
      <c r="KRH129" s="18"/>
      <c r="KRI129" s="18"/>
      <c r="KRJ129" s="18"/>
      <c r="KRK129" s="18"/>
      <c r="KRL129" s="18"/>
      <c r="KRM129" s="18"/>
      <c r="KRN129" s="18"/>
      <c r="KRO129" s="18"/>
      <c r="KRP129" s="18"/>
      <c r="KRQ129" s="18"/>
      <c r="KRR129" s="18"/>
      <c r="KRS129" s="18"/>
      <c r="KRT129" s="18"/>
      <c r="KRU129" s="18"/>
      <c r="KRV129" s="18"/>
      <c r="KRW129" s="18"/>
      <c r="KRX129" s="18"/>
      <c r="KRY129" s="18"/>
      <c r="KRZ129" s="18"/>
      <c r="KSA129" s="18"/>
      <c r="KSB129" s="18"/>
      <c r="KSC129" s="18"/>
      <c r="KSD129" s="18"/>
      <c r="KSE129" s="18"/>
      <c r="KSF129" s="18"/>
      <c r="KSG129" s="18"/>
      <c r="KSH129" s="18"/>
      <c r="KSI129" s="18"/>
      <c r="KSJ129" s="18"/>
      <c r="KSK129" s="18"/>
      <c r="KSL129" s="18"/>
      <c r="KSM129" s="18"/>
      <c r="KSN129" s="18"/>
      <c r="KSO129" s="18"/>
      <c r="KSP129" s="18"/>
      <c r="KSQ129" s="18"/>
      <c r="KSR129" s="18"/>
      <c r="KSS129" s="18"/>
      <c r="KST129" s="18"/>
      <c r="KSU129" s="18"/>
      <c r="KSV129" s="18"/>
      <c r="KSW129" s="18"/>
      <c r="KSX129" s="18"/>
      <c r="KSY129" s="18"/>
      <c r="KSZ129" s="18"/>
      <c r="KTA129" s="18"/>
      <c r="KTB129" s="18"/>
      <c r="KTC129" s="18"/>
      <c r="KTD129" s="18"/>
      <c r="KTE129" s="18"/>
      <c r="KTF129" s="18"/>
      <c r="KTG129" s="18"/>
      <c r="KTH129" s="18"/>
      <c r="KTI129" s="18"/>
      <c r="KTJ129" s="18"/>
      <c r="KTK129" s="18"/>
      <c r="KTL129" s="18"/>
      <c r="KTM129" s="18"/>
      <c r="KTN129" s="18"/>
      <c r="KTO129" s="18"/>
      <c r="KTP129" s="18"/>
      <c r="KTQ129" s="18"/>
      <c r="KTR129" s="18"/>
      <c r="KTS129" s="18"/>
      <c r="KTT129" s="18"/>
      <c r="KTU129" s="18"/>
      <c r="KTV129" s="18"/>
      <c r="KTW129" s="18"/>
      <c r="KTX129" s="18"/>
      <c r="KTY129" s="18"/>
      <c r="KTZ129" s="18"/>
      <c r="KUA129" s="18"/>
      <c r="KUB129" s="18"/>
      <c r="KUC129" s="18"/>
      <c r="KUD129" s="18"/>
      <c r="KUE129" s="18"/>
      <c r="KUF129" s="18"/>
      <c r="KUG129" s="18"/>
      <c r="KUH129" s="18"/>
      <c r="KUI129" s="18"/>
      <c r="KUJ129" s="18"/>
      <c r="KUK129" s="18"/>
      <c r="KUL129" s="18"/>
      <c r="KUM129" s="18"/>
      <c r="KUN129" s="18"/>
      <c r="KUO129" s="18"/>
      <c r="KUP129" s="18"/>
      <c r="KUQ129" s="18"/>
      <c r="KUR129" s="18"/>
      <c r="KUS129" s="18"/>
      <c r="KUT129" s="18"/>
      <c r="KUU129" s="18"/>
      <c r="KUV129" s="18"/>
      <c r="KUW129" s="18"/>
      <c r="KUX129" s="18"/>
      <c r="KUY129" s="18"/>
      <c r="KUZ129" s="18"/>
      <c r="KVA129" s="18"/>
      <c r="KVB129" s="18"/>
      <c r="KVC129" s="18"/>
      <c r="KVD129" s="18"/>
      <c r="KVE129" s="18"/>
      <c r="KVF129" s="18"/>
      <c r="KVG129" s="18"/>
      <c r="KVH129" s="18"/>
      <c r="KVI129" s="18"/>
      <c r="KVJ129" s="18"/>
      <c r="KVK129" s="18"/>
      <c r="KVL129" s="18"/>
      <c r="KVM129" s="18"/>
      <c r="KVN129" s="18"/>
      <c r="KVO129" s="18"/>
      <c r="KVP129" s="18"/>
      <c r="KVQ129" s="18"/>
      <c r="KVR129" s="18"/>
      <c r="KVS129" s="18"/>
      <c r="KVT129" s="18"/>
      <c r="KVU129" s="18"/>
      <c r="KVV129" s="18"/>
      <c r="KVW129" s="18"/>
      <c r="KVX129" s="18"/>
      <c r="KVY129" s="18"/>
      <c r="KVZ129" s="18"/>
      <c r="KWA129" s="18"/>
      <c r="KWB129" s="18"/>
      <c r="KWC129" s="18"/>
      <c r="KWD129" s="18"/>
      <c r="KWE129" s="18"/>
      <c r="KWF129" s="18"/>
      <c r="KWG129" s="18"/>
      <c r="KWH129" s="18"/>
      <c r="KWI129" s="18"/>
      <c r="KWJ129" s="18"/>
      <c r="KWK129" s="18"/>
      <c r="KWL129" s="18"/>
      <c r="KWM129" s="18"/>
      <c r="KWN129" s="18"/>
      <c r="KWO129" s="18"/>
      <c r="KWP129" s="18"/>
      <c r="KWQ129" s="18"/>
      <c r="KWR129" s="18"/>
      <c r="KWS129" s="18"/>
      <c r="KWT129" s="18"/>
      <c r="KWU129" s="18"/>
      <c r="KWV129" s="18"/>
      <c r="KWW129" s="18"/>
      <c r="KWX129" s="18"/>
      <c r="KWY129" s="18"/>
      <c r="KWZ129" s="18"/>
      <c r="KXA129" s="18"/>
      <c r="KXB129" s="18"/>
      <c r="KXC129" s="18"/>
      <c r="KXD129" s="18"/>
      <c r="KXE129" s="18"/>
      <c r="KXF129" s="18"/>
      <c r="KXG129" s="18"/>
      <c r="KXH129" s="18"/>
      <c r="KXI129" s="18"/>
      <c r="KXJ129" s="18"/>
      <c r="KXK129" s="18"/>
      <c r="KXL129" s="18"/>
      <c r="KXM129" s="18"/>
      <c r="KXN129" s="18"/>
      <c r="KXO129" s="18"/>
      <c r="KXP129" s="18"/>
      <c r="KXQ129" s="18"/>
      <c r="KXR129" s="18"/>
      <c r="KXS129" s="18"/>
      <c r="KXT129" s="18"/>
      <c r="KXU129" s="18"/>
      <c r="KXV129" s="18"/>
      <c r="KXW129" s="18"/>
      <c r="KXX129" s="18"/>
      <c r="KXY129" s="18"/>
      <c r="KXZ129" s="18"/>
      <c r="KYA129" s="18"/>
      <c r="KYB129" s="18"/>
      <c r="KYC129" s="18"/>
      <c r="KYD129" s="18"/>
      <c r="KYE129" s="18"/>
      <c r="KYF129" s="18"/>
      <c r="KYG129" s="18"/>
      <c r="KYH129" s="18"/>
      <c r="KYI129" s="18"/>
      <c r="KYJ129" s="18"/>
      <c r="KYK129" s="18"/>
      <c r="KYL129" s="18"/>
      <c r="KYM129" s="18"/>
      <c r="KYN129" s="18"/>
      <c r="KYO129" s="18"/>
      <c r="KYP129" s="18"/>
      <c r="KYQ129" s="18"/>
      <c r="KYR129" s="18"/>
      <c r="KYS129" s="18"/>
      <c r="KYT129" s="18"/>
      <c r="KYU129" s="18"/>
      <c r="KYV129" s="18"/>
      <c r="KYW129" s="18"/>
      <c r="KYX129" s="18"/>
      <c r="KYY129" s="18"/>
      <c r="KYZ129" s="18"/>
      <c r="KZA129" s="18"/>
      <c r="KZB129" s="18"/>
      <c r="KZC129" s="18"/>
      <c r="KZD129" s="18"/>
      <c r="KZE129" s="18"/>
      <c r="KZF129" s="18"/>
      <c r="KZG129" s="18"/>
      <c r="KZH129" s="18"/>
      <c r="KZI129" s="18"/>
      <c r="KZJ129" s="18"/>
      <c r="KZK129" s="18"/>
      <c r="KZL129" s="18"/>
      <c r="KZM129" s="18"/>
      <c r="KZN129" s="18"/>
      <c r="KZO129" s="18"/>
      <c r="KZP129" s="18"/>
      <c r="KZQ129" s="18"/>
      <c r="KZR129" s="18"/>
      <c r="KZS129" s="18"/>
      <c r="KZT129" s="18"/>
      <c r="KZU129" s="18"/>
      <c r="KZV129" s="18"/>
      <c r="KZW129" s="18"/>
      <c r="KZX129" s="18"/>
      <c r="KZY129" s="18"/>
      <c r="KZZ129" s="18"/>
      <c r="LAA129" s="18"/>
      <c r="LAB129" s="18"/>
      <c r="LAC129" s="18"/>
      <c r="LAD129" s="18"/>
      <c r="LAE129" s="18"/>
      <c r="LAF129" s="18"/>
      <c r="LAG129" s="18"/>
      <c r="LAH129" s="18"/>
      <c r="LAI129" s="18"/>
      <c r="LAJ129" s="18"/>
      <c r="LAK129" s="18"/>
      <c r="LAL129" s="18"/>
      <c r="LAM129" s="18"/>
      <c r="LAN129" s="18"/>
      <c r="LAO129" s="18"/>
      <c r="LAP129" s="18"/>
      <c r="LAQ129" s="18"/>
      <c r="LAR129" s="18"/>
      <c r="LAS129" s="18"/>
      <c r="LAT129" s="18"/>
      <c r="LAU129" s="18"/>
      <c r="LAV129" s="18"/>
      <c r="LAW129" s="18"/>
      <c r="LAX129" s="18"/>
      <c r="LAY129" s="18"/>
      <c r="LAZ129" s="18"/>
      <c r="LBA129" s="18"/>
      <c r="LBB129" s="18"/>
      <c r="LBC129" s="18"/>
      <c r="LBD129" s="18"/>
      <c r="LBE129" s="18"/>
      <c r="LBF129" s="18"/>
      <c r="LBG129" s="18"/>
      <c r="LBH129" s="18"/>
      <c r="LBI129" s="18"/>
      <c r="LBJ129" s="18"/>
      <c r="LBK129" s="18"/>
      <c r="LBL129" s="18"/>
      <c r="LBM129" s="18"/>
      <c r="LBN129" s="18"/>
      <c r="LBO129" s="18"/>
      <c r="LBP129" s="18"/>
      <c r="LBQ129" s="18"/>
      <c r="LBR129" s="18"/>
      <c r="LBS129" s="18"/>
      <c r="LBT129" s="18"/>
      <c r="LBU129" s="18"/>
      <c r="LBV129" s="18"/>
      <c r="LBW129" s="18"/>
      <c r="LBX129" s="18"/>
      <c r="LBY129" s="18"/>
      <c r="LBZ129" s="18"/>
      <c r="LCA129" s="18"/>
      <c r="LCB129" s="18"/>
      <c r="LCC129" s="18"/>
      <c r="LCD129" s="18"/>
      <c r="LCE129" s="18"/>
      <c r="LCF129" s="18"/>
      <c r="LCG129" s="18"/>
      <c r="LCH129" s="18"/>
      <c r="LCI129" s="18"/>
      <c r="LCJ129" s="18"/>
      <c r="LCK129" s="18"/>
      <c r="LCL129" s="18"/>
      <c r="LCM129" s="18"/>
      <c r="LCN129" s="18"/>
      <c r="LCO129" s="18"/>
      <c r="LCP129" s="18"/>
      <c r="LCQ129" s="18"/>
      <c r="LCR129" s="18"/>
      <c r="LCS129" s="18"/>
      <c r="LCT129" s="18"/>
      <c r="LCU129" s="18"/>
      <c r="LCV129" s="18"/>
      <c r="LCW129" s="18"/>
      <c r="LCX129" s="18"/>
      <c r="LCY129" s="18"/>
      <c r="LCZ129" s="18"/>
      <c r="LDA129" s="18"/>
      <c r="LDB129" s="18"/>
      <c r="LDC129" s="18"/>
      <c r="LDD129" s="18"/>
      <c r="LDE129" s="18"/>
      <c r="LDF129" s="18"/>
      <c r="LDG129" s="18"/>
      <c r="LDH129" s="18"/>
      <c r="LDI129" s="18"/>
      <c r="LDJ129" s="18"/>
      <c r="LDK129" s="18"/>
      <c r="LDL129" s="18"/>
      <c r="LDM129" s="18"/>
      <c r="LDN129" s="18"/>
      <c r="LDO129" s="18"/>
      <c r="LDP129" s="18"/>
      <c r="LDQ129" s="18"/>
      <c r="LDR129" s="18"/>
      <c r="LDS129" s="18"/>
      <c r="LDT129" s="18"/>
      <c r="LDU129" s="18"/>
      <c r="LDV129" s="18"/>
      <c r="LDW129" s="18"/>
      <c r="LDX129" s="18"/>
      <c r="LDY129" s="18"/>
      <c r="LDZ129" s="18"/>
      <c r="LEA129" s="18"/>
      <c r="LEB129" s="18"/>
      <c r="LEC129" s="18"/>
      <c r="LED129" s="18"/>
      <c r="LEE129" s="18"/>
      <c r="LEF129" s="18"/>
      <c r="LEG129" s="18"/>
      <c r="LEH129" s="18"/>
      <c r="LEI129" s="18"/>
      <c r="LEJ129" s="18"/>
      <c r="LEK129" s="18"/>
      <c r="LEL129" s="18"/>
      <c r="LEM129" s="18"/>
      <c r="LEN129" s="18"/>
      <c r="LEO129" s="18"/>
      <c r="LEP129" s="18"/>
      <c r="LEQ129" s="18"/>
      <c r="LER129" s="18"/>
      <c r="LES129" s="18"/>
      <c r="LET129" s="18"/>
      <c r="LEU129" s="18"/>
      <c r="LEV129" s="18"/>
      <c r="LEW129" s="18"/>
      <c r="LEX129" s="18"/>
      <c r="LEY129" s="18"/>
      <c r="LEZ129" s="18"/>
      <c r="LFA129" s="18"/>
      <c r="LFB129" s="18"/>
      <c r="LFC129" s="18"/>
      <c r="LFD129" s="18"/>
      <c r="LFE129" s="18"/>
      <c r="LFF129" s="18"/>
      <c r="LFG129" s="18"/>
      <c r="LFH129" s="18"/>
      <c r="LFI129" s="18"/>
      <c r="LFJ129" s="18"/>
      <c r="LFK129" s="18"/>
      <c r="LFL129" s="18"/>
      <c r="LFM129" s="18"/>
      <c r="LFN129" s="18"/>
      <c r="LFO129" s="18"/>
      <c r="LFP129" s="18"/>
      <c r="LFQ129" s="18"/>
      <c r="LFR129" s="18"/>
      <c r="LFS129" s="18"/>
      <c r="LFT129" s="18"/>
      <c r="LFU129" s="18"/>
      <c r="LFV129" s="18"/>
      <c r="LFW129" s="18"/>
      <c r="LFX129" s="18"/>
      <c r="LFY129" s="18"/>
      <c r="LFZ129" s="18"/>
      <c r="LGA129" s="18"/>
      <c r="LGB129" s="18"/>
      <c r="LGC129" s="18"/>
      <c r="LGD129" s="18"/>
      <c r="LGE129" s="18"/>
      <c r="LGF129" s="18"/>
      <c r="LGG129" s="18"/>
      <c r="LGH129" s="18"/>
      <c r="LGI129" s="18"/>
      <c r="LGJ129" s="18"/>
      <c r="LGK129" s="18"/>
      <c r="LGL129" s="18"/>
      <c r="LGM129" s="18"/>
      <c r="LGN129" s="18"/>
      <c r="LGO129" s="18"/>
      <c r="LGP129" s="18"/>
      <c r="LGQ129" s="18"/>
      <c r="LGR129" s="18"/>
      <c r="LGS129" s="18"/>
      <c r="LGT129" s="18"/>
      <c r="LGU129" s="18"/>
      <c r="LGV129" s="18"/>
      <c r="LGW129" s="18"/>
      <c r="LGX129" s="18"/>
      <c r="LGY129" s="18"/>
      <c r="LGZ129" s="18"/>
      <c r="LHA129" s="18"/>
      <c r="LHB129" s="18"/>
      <c r="LHC129" s="18"/>
      <c r="LHD129" s="18"/>
      <c r="LHE129" s="18"/>
      <c r="LHF129" s="18"/>
      <c r="LHG129" s="18"/>
      <c r="LHH129" s="18"/>
      <c r="LHI129" s="18"/>
      <c r="LHJ129" s="18"/>
      <c r="LHK129" s="18"/>
      <c r="LHL129" s="18"/>
      <c r="LHM129" s="18"/>
      <c r="LHN129" s="18"/>
      <c r="LHO129" s="18"/>
      <c r="LHP129" s="18"/>
      <c r="LHQ129" s="18"/>
      <c r="LHR129" s="18"/>
      <c r="LHS129" s="18"/>
      <c r="LHT129" s="18"/>
      <c r="LHU129" s="18"/>
      <c r="LHV129" s="18"/>
      <c r="LHW129" s="18"/>
      <c r="LHX129" s="18"/>
      <c r="LHY129" s="18"/>
      <c r="LHZ129" s="18"/>
      <c r="LIA129" s="18"/>
      <c r="LIB129" s="18"/>
      <c r="LIC129" s="18"/>
      <c r="LID129" s="18"/>
      <c r="LIE129" s="18"/>
      <c r="LIF129" s="18"/>
      <c r="LIG129" s="18"/>
      <c r="LIH129" s="18"/>
      <c r="LII129" s="18"/>
      <c r="LIJ129" s="18"/>
      <c r="LIK129" s="18"/>
      <c r="LIL129" s="18"/>
      <c r="LIM129" s="18"/>
      <c r="LIN129" s="18"/>
      <c r="LIO129" s="18"/>
      <c r="LIP129" s="18"/>
      <c r="LIQ129" s="18"/>
      <c r="LIR129" s="18"/>
      <c r="LIS129" s="18"/>
      <c r="LIT129" s="18"/>
      <c r="LIU129" s="18"/>
      <c r="LIV129" s="18"/>
      <c r="LIW129" s="18"/>
      <c r="LIX129" s="18"/>
      <c r="LIY129" s="18"/>
      <c r="LIZ129" s="18"/>
      <c r="LJA129" s="18"/>
      <c r="LJB129" s="18"/>
      <c r="LJC129" s="18"/>
      <c r="LJD129" s="18"/>
      <c r="LJE129" s="18"/>
      <c r="LJF129" s="18"/>
      <c r="LJG129" s="18"/>
      <c r="LJH129" s="18"/>
      <c r="LJI129" s="18"/>
      <c r="LJJ129" s="18"/>
      <c r="LJK129" s="18"/>
      <c r="LJL129" s="18"/>
      <c r="LJM129" s="18"/>
      <c r="LJN129" s="18"/>
      <c r="LJO129" s="18"/>
      <c r="LJP129" s="18"/>
      <c r="LJQ129" s="18"/>
      <c r="LJR129" s="18"/>
      <c r="LJS129" s="18"/>
      <c r="LJT129" s="18"/>
      <c r="LJU129" s="18"/>
      <c r="LJV129" s="18"/>
      <c r="LJW129" s="18"/>
      <c r="LJX129" s="18"/>
      <c r="LJY129" s="18"/>
      <c r="LJZ129" s="18"/>
      <c r="LKA129" s="18"/>
      <c r="LKB129" s="18"/>
      <c r="LKC129" s="18"/>
      <c r="LKD129" s="18"/>
      <c r="LKE129" s="18"/>
      <c r="LKF129" s="18"/>
      <c r="LKG129" s="18"/>
      <c r="LKH129" s="18"/>
      <c r="LKI129" s="18"/>
      <c r="LKJ129" s="18"/>
      <c r="LKK129" s="18"/>
      <c r="LKL129" s="18"/>
      <c r="LKM129" s="18"/>
      <c r="LKN129" s="18"/>
      <c r="LKO129" s="18"/>
      <c r="LKP129" s="18"/>
      <c r="LKQ129" s="18"/>
      <c r="LKR129" s="18"/>
      <c r="LKS129" s="18"/>
      <c r="LKT129" s="18"/>
      <c r="LKU129" s="18"/>
      <c r="LKV129" s="18"/>
      <c r="LKW129" s="18"/>
      <c r="LKX129" s="18"/>
      <c r="LKY129" s="18"/>
      <c r="LKZ129" s="18"/>
      <c r="LLA129" s="18"/>
      <c r="LLB129" s="18"/>
      <c r="LLC129" s="18"/>
      <c r="LLD129" s="18"/>
      <c r="LLE129" s="18"/>
      <c r="LLF129" s="18"/>
      <c r="LLG129" s="18"/>
      <c r="LLH129" s="18"/>
      <c r="LLI129" s="18"/>
      <c r="LLJ129" s="18"/>
      <c r="LLK129" s="18"/>
      <c r="LLL129" s="18"/>
      <c r="LLM129" s="18"/>
      <c r="LLN129" s="18"/>
      <c r="LLO129" s="18"/>
      <c r="LLP129" s="18"/>
      <c r="LLQ129" s="18"/>
      <c r="LLR129" s="18"/>
      <c r="LLS129" s="18"/>
      <c r="LLT129" s="18"/>
      <c r="LLU129" s="18"/>
      <c r="LLV129" s="18"/>
      <c r="LLW129" s="18"/>
      <c r="LLX129" s="18"/>
      <c r="LLY129" s="18"/>
      <c r="LLZ129" s="18"/>
      <c r="LMA129" s="18"/>
      <c r="LMB129" s="18"/>
      <c r="LMC129" s="18"/>
      <c r="LMD129" s="18"/>
      <c r="LME129" s="18"/>
      <c r="LMF129" s="18"/>
      <c r="LMG129" s="18"/>
      <c r="LMH129" s="18"/>
      <c r="LMI129" s="18"/>
      <c r="LMJ129" s="18"/>
      <c r="LMK129" s="18"/>
      <c r="LML129" s="18"/>
      <c r="LMM129" s="18"/>
      <c r="LMN129" s="18"/>
      <c r="LMO129" s="18"/>
      <c r="LMP129" s="18"/>
      <c r="LMQ129" s="18"/>
      <c r="LMR129" s="18"/>
      <c r="LMS129" s="18"/>
      <c r="LMT129" s="18"/>
      <c r="LMU129" s="18"/>
      <c r="LMV129" s="18"/>
      <c r="LMW129" s="18"/>
      <c r="LMX129" s="18"/>
      <c r="LMY129" s="18"/>
      <c r="LMZ129" s="18"/>
      <c r="LNA129" s="18"/>
      <c r="LNB129" s="18"/>
      <c r="LNC129" s="18"/>
      <c r="LND129" s="18"/>
      <c r="LNE129" s="18"/>
      <c r="LNF129" s="18"/>
      <c r="LNG129" s="18"/>
      <c r="LNH129" s="18"/>
      <c r="LNI129" s="18"/>
      <c r="LNJ129" s="18"/>
      <c r="LNK129" s="18"/>
      <c r="LNL129" s="18"/>
      <c r="LNM129" s="18"/>
      <c r="LNN129" s="18"/>
      <c r="LNO129" s="18"/>
      <c r="LNP129" s="18"/>
      <c r="LNQ129" s="18"/>
      <c r="LNR129" s="18"/>
      <c r="LNS129" s="18"/>
      <c r="LNT129" s="18"/>
      <c r="LNU129" s="18"/>
      <c r="LNV129" s="18"/>
      <c r="LNW129" s="18"/>
      <c r="LNX129" s="18"/>
      <c r="LNY129" s="18"/>
      <c r="LNZ129" s="18"/>
      <c r="LOA129" s="18"/>
      <c r="LOB129" s="18"/>
      <c r="LOC129" s="18"/>
      <c r="LOD129" s="18"/>
      <c r="LOE129" s="18"/>
      <c r="LOF129" s="18"/>
      <c r="LOG129" s="18"/>
      <c r="LOH129" s="18"/>
      <c r="LOI129" s="18"/>
      <c r="LOJ129" s="18"/>
      <c r="LOK129" s="18"/>
      <c r="LOL129" s="18"/>
      <c r="LOM129" s="18"/>
      <c r="LON129" s="18"/>
      <c r="LOO129" s="18"/>
      <c r="LOP129" s="18"/>
      <c r="LOQ129" s="18"/>
      <c r="LOR129" s="18"/>
      <c r="LOS129" s="18"/>
      <c r="LOT129" s="18"/>
      <c r="LOU129" s="18"/>
      <c r="LOV129" s="18"/>
      <c r="LOW129" s="18"/>
      <c r="LOX129" s="18"/>
      <c r="LOY129" s="18"/>
      <c r="LOZ129" s="18"/>
      <c r="LPA129" s="18"/>
      <c r="LPB129" s="18"/>
      <c r="LPC129" s="18"/>
      <c r="LPD129" s="18"/>
      <c r="LPE129" s="18"/>
      <c r="LPF129" s="18"/>
      <c r="LPG129" s="18"/>
      <c r="LPH129" s="18"/>
      <c r="LPI129" s="18"/>
      <c r="LPJ129" s="18"/>
      <c r="LPK129" s="18"/>
      <c r="LPL129" s="18"/>
      <c r="LPM129" s="18"/>
      <c r="LPN129" s="18"/>
      <c r="LPO129" s="18"/>
      <c r="LPP129" s="18"/>
      <c r="LPQ129" s="18"/>
      <c r="LPR129" s="18"/>
      <c r="LPS129" s="18"/>
      <c r="LPT129" s="18"/>
      <c r="LPU129" s="18"/>
      <c r="LPV129" s="18"/>
      <c r="LPW129" s="18"/>
      <c r="LPX129" s="18"/>
      <c r="LPY129" s="18"/>
      <c r="LPZ129" s="18"/>
      <c r="LQA129" s="18"/>
      <c r="LQB129" s="18"/>
      <c r="LQC129" s="18"/>
      <c r="LQD129" s="18"/>
      <c r="LQE129" s="18"/>
      <c r="LQF129" s="18"/>
      <c r="LQG129" s="18"/>
      <c r="LQH129" s="18"/>
      <c r="LQI129" s="18"/>
      <c r="LQJ129" s="18"/>
      <c r="LQK129" s="18"/>
      <c r="LQL129" s="18"/>
      <c r="LQM129" s="18"/>
      <c r="LQN129" s="18"/>
      <c r="LQO129" s="18"/>
      <c r="LQP129" s="18"/>
      <c r="LQQ129" s="18"/>
      <c r="LQR129" s="18"/>
      <c r="LQS129" s="18"/>
      <c r="LQT129" s="18"/>
      <c r="LQU129" s="18"/>
      <c r="LQV129" s="18"/>
      <c r="LQW129" s="18"/>
      <c r="LQX129" s="18"/>
      <c r="LQY129" s="18"/>
      <c r="LQZ129" s="18"/>
      <c r="LRA129" s="18"/>
      <c r="LRB129" s="18"/>
      <c r="LRC129" s="18"/>
      <c r="LRD129" s="18"/>
      <c r="LRE129" s="18"/>
      <c r="LRF129" s="18"/>
      <c r="LRG129" s="18"/>
      <c r="LRH129" s="18"/>
      <c r="LRI129" s="18"/>
      <c r="LRJ129" s="18"/>
      <c r="LRK129" s="18"/>
      <c r="LRL129" s="18"/>
      <c r="LRM129" s="18"/>
      <c r="LRN129" s="18"/>
      <c r="LRO129" s="18"/>
      <c r="LRP129" s="18"/>
      <c r="LRQ129" s="18"/>
      <c r="LRR129" s="18"/>
      <c r="LRS129" s="18"/>
      <c r="LRT129" s="18"/>
      <c r="LRU129" s="18"/>
      <c r="LRV129" s="18"/>
      <c r="LRW129" s="18"/>
      <c r="LRX129" s="18"/>
      <c r="LRY129" s="18"/>
      <c r="LRZ129" s="18"/>
      <c r="LSA129" s="18"/>
      <c r="LSB129" s="18"/>
      <c r="LSC129" s="18"/>
      <c r="LSD129" s="18"/>
      <c r="LSE129" s="18"/>
      <c r="LSF129" s="18"/>
      <c r="LSG129" s="18"/>
      <c r="LSH129" s="18"/>
      <c r="LSI129" s="18"/>
      <c r="LSJ129" s="18"/>
      <c r="LSK129" s="18"/>
      <c r="LSL129" s="18"/>
      <c r="LSM129" s="18"/>
      <c r="LSN129" s="18"/>
      <c r="LSO129" s="18"/>
      <c r="LSP129" s="18"/>
      <c r="LSQ129" s="18"/>
      <c r="LSR129" s="18"/>
      <c r="LSS129" s="18"/>
      <c r="LST129" s="18"/>
      <c r="LSU129" s="18"/>
      <c r="LSV129" s="18"/>
      <c r="LSW129" s="18"/>
      <c r="LSX129" s="18"/>
      <c r="LSY129" s="18"/>
      <c r="LSZ129" s="18"/>
      <c r="LTA129" s="18"/>
      <c r="LTB129" s="18"/>
      <c r="LTC129" s="18"/>
      <c r="LTD129" s="18"/>
      <c r="LTE129" s="18"/>
      <c r="LTF129" s="18"/>
      <c r="LTG129" s="18"/>
      <c r="LTH129" s="18"/>
      <c r="LTI129" s="18"/>
      <c r="LTJ129" s="18"/>
      <c r="LTK129" s="18"/>
      <c r="LTL129" s="18"/>
      <c r="LTM129" s="18"/>
      <c r="LTN129" s="18"/>
      <c r="LTO129" s="18"/>
      <c r="LTP129" s="18"/>
      <c r="LTQ129" s="18"/>
      <c r="LTR129" s="18"/>
      <c r="LTS129" s="18"/>
      <c r="LTT129" s="18"/>
      <c r="LTU129" s="18"/>
      <c r="LTV129" s="18"/>
      <c r="LTW129" s="18"/>
      <c r="LTX129" s="18"/>
      <c r="LTY129" s="18"/>
      <c r="LTZ129" s="18"/>
      <c r="LUA129" s="18"/>
      <c r="LUB129" s="18"/>
      <c r="LUC129" s="18"/>
      <c r="LUD129" s="18"/>
      <c r="LUE129" s="18"/>
      <c r="LUF129" s="18"/>
      <c r="LUG129" s="18"/>
      <c r="LUH129" s="18"/>
      <c r="LUI129" s="18"/>
      <c r="LUJ129" s="18"/>
      <c r="LUK129" s="18"/>
      <c r="LUL129" s="18"/>
      <c r="LUM129" s="18"/>
      <c r="LUN129" s="18"/>
      <c r="LUO129" s="18"/>
      <c r="LUP129" s="18"/>
      <c r="LUQ129" s="18"/>
      <c r="LUR129" s="18"/>
      <c r="LUS129" s="18"/>
      <c r="LUT129" s="18"/>
      <c r="LUU129" s="18"/>
      <c r="LUV129" s="18"/>
      <c r="LUW129" s="18"/>
      <c r="LUX129" s="18"/>
      <c r="LUY129" s="18"/>
      <c r="LUZ129" s="18"/>
      <c r="LVA129" s="18"/>
      <c r="LVB129" s="18"/>
      <c r="LVC129" s="18"/>
      <c r="LVD129" s="18"/>
      <c r="LVE129" s="18"/>
      <c r="LVF129" s="18"/>
      <c r="LVG129" s="18"/>
      <c r="LVH129" s="18"/>
      <c r="LVI129" s="18"/>
      <c r="LVJ129" s="18"/>
      <c r="LVK129" s="18"/>
      <c r="LVL129" s="18"/>
      <c r="LVM129" s="18"/>
      <c r="LVN129" s="18"/>
      <c r="LVO129" s="18"/>
      <c r="LVP129" s="18"/>
      <c r="LVQ129" s="18"/>
      <c r="LVR129" s="18"/>
      <c r="LVS129" s="18"/>
      <c r="LVT129" s="18"/>
      <c r="LVU129" s="18"/>
      <c r="LVV129" s="18"/>
      <c r="LVW129" s="18"/>
      <c r="LVX129" s="18"/>
      <c r="LVY129" s="18"/>
      <c r="LVZ129" s="18"/>
      <c r="LWA129" s="18"/>
      <c r="LWB129" s="18"/>
      <c r="LWC129" s="18"/>
      <c r="LWD129" s="18"/>
      <c r="LWE129" s="18"/>
      <c r="LWF129" s="18"/>
      <c r="LWG129" s="18"/>
      <c r="LWH129" s="18"/>
      <c r="LWI129" s="18"/>
      <c r="LWJ129" s="18"/>
      <c r="LWK129" s="18"/>
      <c r="LWL129" s="18"/>
      <c r="LWM129" s="18"/>
      <c r="LWN129" s="18"/>
      <c r="LWO129" s="18"/>
      <c r="LWP129" s="18"/>
      <c r="LWQ129" s="18"/>
      <c r="LWR129" s="18"/>
      <c r="LWS129" s="18"/>
      <c r="LWT129" s="18"/>
      <c r="LWU129" s="18"/>
      <c r="LWV129" s="18"/>
      <c r="LWW129" s="18"/>
      <c r="LWX129" s="18"/>
      <c r="LWY129" s="18"/>
      <c r="LWZ129" s="18"/>
      <c r="LXA129" s="18"/>
      <c r="LXB129" s="18"/>
      <c r="LXC129" s="18"/>
      <c r="LXD129" s="18"/>
      <c r="LXE129" s="18"/>
      <c r="LXF129" s="18"/>
      <c r="LXG129" s="18"/>
      <c r="LXH129" s="18"/>
      <c r="LXI129" s="18"/>
      <c r="LXJ129" s="18"/>
      <c r="LXK129" s="18"/>
      <c r="LXL129" s="18"/>
      <c r="LXM129" s="18"/>
      <c r="LXN129" s="18"/>
      <c r="LXO129" s="18"/>
      <c r="LXP129" s="18"/>
      <c r="LXQ129" s="18"/>
      <c r="LXR129" s="18"/>
      <c r="LXS129" s="18"/>
      <c r="LXT129" s="18"/>
      <c r="LXU129" s="18"/>
      <c r="LXV129" s="18"/>
      <c r="LXW129" s="18"/>
      <c r="LXX129" s="18"/>
      <c r="LXY129" s="18"/>
      <c r="LXZ129" s="18"/>
      <c r="LYA129" s="18"/>
      <c r="LYB129" s="18"/>
      <c r="LYC129" s="18"/>
      <c r="LYD129" s="18"/>
      <c r="LYE129" s="18"/>
      <c r="LYF129" s="18"/>
      <c r="LYG129" s="18"/>
      <c r="LYH129" s="18"/>
      <c r="LYI129" s="18"/>
      <c r="LYJ129" s="18"/>
      <c r="LYK129" s="18"/>
      <c r="LYL129" s="18"/>
      <c r="LYM129" s="18"/>
      <c r="LYN129" s="18"/>
      <c r="LYO129" s="18"/>
      <c r="LYP129" s="18"/>
      <c r="LYQ129" s="18"/>
      <c r="LYR129" s="18"/>
      <c r="LYS129" s="18"/>
      <c r="LYT129" s="18"/>
      <c r="LYU129" s="18"/>
      <c r="LYV129" s="18"/>
      <c r="LYW129" s="18"/>
      <c r="LYX129" s="18"/>
      <c r="LYY129" s="18"/>
      <c r="LYZ129" s="18"/>
      <c r="LZA129" s="18"/>
      <c r="LZB129" s="18"/>
      <c r="LZC129" s="18"/>
      <c r="LZD129" s="18"/>
      <c r="LZE129" s="18"/>
      <c r="LZF129" s="18"/>
      <c r="LZG129" s="18"/>
      <c r="LZH129" s="18"/>
      <c r="LZI129" s="18"/>
      <c r="LZJ129" s="18"/>
      <c r="LZK129" s="18"/>
      <c r="LZL129" s="18"/>
      <c r="LZM129" s="18"/>
      <c r="LZN129" s="18"/>
      <c r="LZO129" s="18"/>
      <c r="LZP129" s="18"/>
      <c r="LZQ129" s="18"/>
      <c r="LZR129" s="18"/>
      <c r="LZS129" s="18"/>
      <c r="LZT129" s="18"/>
      <c r="LZU129" s="18"/>
      <c r="LZV129" s="18"/>
      <c r="LZW129" s="18"/>
      <c r="LZX129" s="18"/>
      <c r="LZY129" s="18"/>
      <c r="LZZ129" s="18"/>
      <c r="MAA129" s="18"/>
      <c r="MAB129" s="18"/>
      <c r="MAC129" s="18"/>
      <c r="MAD129" s="18"/>
      <c r="MAE129" s="18"/>
      <c r="MAF129" s="18"/>
      <c r="MAG129" s="18"/>
      <c r="MAH129" s="18"/>
      <c r="MAI129" s="18"/>
      <c r="MAJ129" s="18"/>
      <c r="MAK129" s="18"/>
      <c r="MAL129" s="18"/>
      <c r="MAM129" s="18"/>
      <c r="MAN129" s="18"/>
      <c r="MAO129" s="18"/>
      <c r="MAP129" s="18"/>
      <c r="MAQ129" s="18"/>
      <c r="MAR129" s="18"/>
      <c r="MAS129" s="18"/>
      <c r="MAT129" s="18"/>
      <c r="MAU129" s="18"/>
      <c r="MAV129" s="18"/>
      <c r="MAW129" s="18"/>
      <c r="MAX129" s="18"/>
      <c r="MAY129" s="18"/>
      <c r="MAZ129" s="18"/>
      <c r="MBA129" s="18"/>
      <c r="MBB129" s="18"/>
      <c r="MBC129" s="18"/>
      <c r="MBD129" s="18"/>
      <c r="MBE129" s="18"/>
      <c r="MBF129" s="18"/>
      <c r="MBG129" s="18"/>
      <c r="MBH129" s="18"/>
      <c r="MBI129" s="18"/>
      <c r="MBJ129" s="18"/>
      <c r="MBK129" s="18"/>
      <c r="MBL129" s="18"/>
      <c r="MBM129" s="18"/>
      <c r="MBN129" s="18"/>
      <c r="MBO129" s="18"/>
      <c r="MBP129" s="18"/>
      <c r="MBQ129" s="18"/>
      <c r="MBR129" s="18"/>
      <c r="MBS129" s="18"/>
      <c r="MBT129" s="18"/>
      <c r="MBU129" s="18"/>
      <c r="MBV129" s="18"/>
      <c r="MBW129" s="18"/>
      <c r="MBX129" s="18"/>
      <c r="MBY129" s="18"/>
      <c r="MBZ129" s="18"/>
      <c r="MCA129" s="18"/>
      <c r="MCB129" s="18"/>
      <c r="MCC129" s="18"/>
      <c r="MCD129" s="18"/>
      <c r="MCE129" s="18"/>
      <c r="MCF129" s="18"/>
      <c r="MCG129" s="18"/>
      <c r="MCH129" s="18"/>
      <c r="MCI129" s="18"/>
      <c r="MCJ129" s="18"/>
      <c r="MCK129" s="18"/>
      <c r="MCL129" s="18"/>
      <c r="MCM129" s="18"/>
      <c r="MCN129" s="18"/>
      <c r="MCO129" s="18"/>
      <c r="MCP129" s="18"/>
      <c r="MCQ129" s="18"/>
      <c r="MCR129" s="18"/>
      <c r="MCS129" s="18"/>
      <c r="MCT129" s="18"/>
      <c r="MCU129" s="18"/>
      <c r="MCV129" s="18"/>
      <c r="MCW129" s="18"/>
      <c r="MCX129" s="18"/>
      <c r="MCY129" s="18"/>
      <c r="MCZ129" s="18"/>
      <c r="MDA129" s="18"/>
      <c r="MDB129" s="18"/>
      <c r="MDC129" s="18"/>
      <c r="MDD129" s="18"/>
      <c r="MDE129" s="18"/>
      <c r="MDF129" s="18"/>
      <c r="MDG129" s="18"/>
      <c r="MDH129" s="18"/>
      <c r="MDI129" s="18"/>
      <c r="MDJ129" s="18"/>
      <c r="MDK129" s="18"/>
      <c r="MDL129" s="18"/>
      <c r="MDM129" s="18"/>
      <c r="MDN129" s="18"/>
      <c r="MDO129" s="18"/>
      <c r="MDP129" s="18"/>
      <c r="MDQ129" s="18"/>
      <c r="MDR129" s="18"/>
      <c r="MDS129" s="18"/>
      <c r="MDT129" s="18"/>
      <c r="MDU129" s="18"/>
      <c r="MDV129" s="18"/>
      <c r="MDW129" s="18"/>
      <c r="MDX129" s="18"/>
      <c r="MDY129" s="18"/>
      <c r="MDZ129" s="18"/>
      <c r="MEA129" s="18"/>
      <c r="MEB129" s="18"/>
      <c r="MEC129" s="18"/>
      <c r="MED129" s="18"/>
      <c r="MEE129" s="18"/>
      <c r="MEF129" s="18"/>
      <c r="MEG129" s="18"/>
      <c r="MEH129" s="18"/>
      <c r="MEI129" s="18"/>
      <c r="MEJ129" s="18"/>
      <c r="MEK129" s="18"/>
      <c r="MEL129" s="18"/>
      <c r="MEM129" s="18"/>
      <c r="MEN129" s="18"/>
      <c r="MEO129" s="18"/>
      <c r="MEP129" s="18"/>
      <c r="MEQ129" s="18"/>
      <c r="MER129" s="18"/>
      <c r="MES129" s="18"/>
      <c r="MET129" s="18"/>
      <c r="MEU129" s="18"/>
      <c r="MEV129" s="18"/>
      <c r="MEW129" s="18"/>
      <c r="MEX129" s="18"/>
      <c r="MEY129" s="18"/>
      <c r="MEZ129" s="18"/>
      <c r="MFA129" s="18"/>
      <c r="MFB129" s="18"/>
      <c r="MFC129" s="18"/>
      <c r="MFD129" s="18"/>
      <c r="MFE129" s="18"/>
      <c r="MFF129" s="18"/>
      <c r="MFG129" s="18"/>
      <c r="MFH129" s="18"/>
      <c r="MFI129" s="18"/>
      <c r="MFJ129" s="18"/>
      <c r="MFK129" s="18"/>
      <c r="MFL129" s="18"/>
      <c r="MFM129" s="18"/>
      <c r="MFN129" s="18"/>
      <c r="MFO129" s="18"/>
      <c r="MFP129" s="18"/>
      <c r="MFQ129" s="18"/>
      <c r="MFR129" s="18"/>
      <c r="MFS129" s="18"/>
      <c r="MFT129" s="18"/>
      <c r="MFU129" s="18"/>
      <c r="MFV129" s="18"/>
      <c r="MFW129" s="18"/>
      <c r="MFX129" s="18"/>
      <c r="MFY129" s="18"/>
      <c r="MFZ129" s="18"/>
      <c r="MGA129" s="18"/>
      <c r="MGB129" s="18"/>
      <c r="MGC129" s="18"/>
      <c r="MGD129" s="18"/>
      <c r="MGE129" s="18"/>
      <c r="MGF129" s="18"/>
      <c r="MGG129" s="18"/>
      <c r="MGH129" s="18"/>
      <c r="MGI129" s="18"/>
      <c r="MGJ129" s="18"/>
      <c r="MGK129" s="18"/>
      <c r="MGL129" s="18"/>
      <c r="MGM129" s="18"/>
      <c r="MGN129" s="18"/>
      <c r="MGO129" s="18"/>
      <c r="MGP129" s="18"/>
      <c r="MGQ129" s="18"/>
      <c r="MGR129" s="18"/>
      <c r="MGS129" s="18"/>
      <c r="MGT129" s="18"/>
      <c r="MGU129" s="18"/>
      <c r="MGV129" s="18"/>
      <c r="MGW129" s="18"/>
      <c r="MGX129" s="18"/>
      <c r="MGY129" s="18"/>
      <c r="MGZ129" s="18"/>
      <c r="MHA129" s="18"/>
      <c r="MHB129" s="18"/>
      <c r="MHC129" s="18"/>
      <c r="MHD129" s="18"/>
      <c r="MHE129" s="18"/>
      <c r="MHF129" s="18"/>
      <c r="MHG129" s="18"/>
      <c r="MHH129" s="18"/>
      <c r="MHI129" s="18"/>
      <c r="MHJ129" s="18"/>
      <c r="MHK129" s="18"/>
      <c r="MHL129" s="18"/>
      <c r="MHM129" s="18"/>
      <c r="MHN129" s="18"/>
      <c r="MHO129" s="18"/>
      <c r="MHP129" s="18"/>
      <c r="MHQ129" s="18"/>
      <c r="MHR129" s="18"/>
      <c r="MHS129" s="18"/>
      <c r="MHT129" s="18"/>
      <c r="MHU129" s="18"/>
      <c r="MHV129" s="18"/>
      <c r="MHW129" s="18"/>
      <c r="MHX129" s="18"/>
      <c r="MHY129" s="18"/>
      <c r="MHZ129" s="18"/>
      <c r="MIA129" s="18"/>
      <c r="MIB129" s="18"/>
      <c r="MIC129" s="18"/>
      <c r="MID129" s="18"/>
      <c r="MIE129" s="18"/>
      <c r="MIF129" s="18"/>
      <c r="MIG129" s="18"/>
      <c r="MIH129" s="18"/>
      <c r="MII129" s="18"/>
      <c r="MIJ129" s="18"/>
      <c r="MIK129" s="18"/>
      <c r="MIL129" s="18"/>
      <c r="MIM129" s="18"/>
      <c r="MIN129" s="18"/>
      <c r="MIO129" s="18"/>
      <c r="MIP129" s="18"/>
      <c r="MIQ129" s="18"/>
      <c r="MIR129" s="18"/>
      <c r="MIS129" s="18"/>
      <c r="MIT129" s="18"/>
      <c r="MIU129" s="18"/>
      <c r="MIV129" s="18"/>
      <c r="MIW129" s="18"/>
      <c r="MIX129" s="18"/>
      <c r="MIY129" s="18"/>
      <c r="MIZ129" s="18"/>
      <c r="MJA129" s="18"/>
      <c r="MJB129" s="18"/>
      <c r="MJC129" s="18"/>
      <c r="MJD129" s="18"/>
      <c r="MJE129" s="18"/>
      <c r="MJF129" s="18"/>
      <c r="MJG129" s="18"/>
      <c r="MJH129" s="18"/>
      <c r="MJI129" s="18"/>
      <c r="MJJ129" s="18"/>
      <c r="MJK129" s="18"/>
      <c r="MJL129" s="18"/>
      <c r="MJM129" s="18"/>
      <c r="MJN129" s="18"/>
      <c r="MJO129" s="18"/>
      <c r="MJP129" s="18"/>
      <c r="MJQ129" s="18"/>
      <c r="MJR129" s="18"/>
      <c r="MJS129" s="18"/>
      <c r="MJT129" s="18"/>
      <c r="MJU129" s="18"/>
      <c r="MJV129" s="18"/>
      <c r="MJW129" s="18"/>
      <c r="MJX129" s="18"/>
      <c r="MJY129" s="18"/>
      <c r="MJZ129" s="18"/>
      <c r="MKA129" s="18"/>
      <c r="MKB129" s="18"/>
      <c r="MKC129" s="18"/>
      <c r="MKD129" s="18"/>
      <c r="MKE129" s="18"/>
      <c r="MKF129" s="18"/>
      <c r="MKG129" s="18"/>
      <c r="MKH129" s="18"/>
      <c r="MKI129" s="18"/>
      <c r="MKJ129" s="18"/>
      <c r="MKK129" s="18"/>
      <c r="MKL129" s="18"/>
      <c r="MKM129" s="18"/>
      <c r="MKN129" s="18"/>
      <c r="MKO129" s="18"/>
      <c r="MKP129" s="18"/>
      <c r="MKQ129" s="18"/>
      <c r="MKR129" s="18"/>
      <c r="MKS129" s="18"/>
      <c r="MKT129" s="18"/>
      <c r="MKU129" s="18"/>
      <c r="MKV129" s="18"/>
      <c r="MKW129" s="18"/>
      <c r="MKX129" s="18"/>
      <c r="MKY129" s="18"/>
      <c r="MKZ129" s="18"/>
      <c r="MLA129" s="18"/>
      <c r="MLB129" s="18"/>
      <c r="MLC129" s="18"/>
      <c r="MLD129" s="18"/>
      <c r="MLE129" s="18"/>
      <c r="MLF129" s="18"/>
      <c r="MLG129" s="18"/>
      <c r="MLH129" s="18"/>
      <c r="MLI129" s="18"/>
      <c r="MLJ129" s="18"/>
      <c r="MLK129" s="18"/>
      <c r="MLL129" s="18"/>
      <c r="MLM129" s="18"/>
      <c r="MLN129" s="18"/>
      <c r="MLO129" s="18"/>
      <c r="MLP129" s="18"/>
      <c r="MLQ129" s="18"/>
      <c r="MLR129" s="18"/>
      <c r="MLS129" s="18"/>
      <c r="MLT129" s="18"/>
      <c r="MLU129" s="18"/>
      <c r="MLV129" s="18"/>
      <c r="MLW129" s="18"/>
      <c r="MLX129" s="18"/>
      <c r="MLY129" s="18"/>
      <c r="MLZ129" s="18"/>
      <c r="MMA129" s="18"/>
      <c r="MMB129" s="18"/>
      <c r="MMC129" s="18"/>
      <c r="MMD129" s="18"/>
      <c r="MME129" s="18"/>
      <c r="MMF129" s="18"/>
      <c r="MMG129" s="18"/>
      <c r="MMH129" s="18"/>
      <c r="MMI129" s="18"/>
      <c r="MMJ129" s="18"/>
      <c r="MMK129" s="18"/>
      <c r="MML129" s="18"/>
      <c r="MMM129" s="18"/>
      <c r="MMN129" s="18"/>
      <c r="MMO129" s="18"/>
      <c r="MMP129" s="18"/>
      <c r="MMQ129" s="18"/>
      <c r="MMR129" s="18"/>
      <c r="MMS129" s="18"/>
      <c r="MMT129" s="18"/>
      <c r="MMU129" s="18"/>
      <c r="MMV129" s="18"/>
      <c r="MMW129" s="18"/>
      <c r="MMX129" s="18"/>
      <c r="MMY129" s="18"/>
      <c r="MMZ129" s="18"/>
      <c r="MNA129" s="18"/>
      <c r="MNB129" s="18"/>
      <c r="MNC129" s="18"/>
      <c r="MND129" s="18"/>
      <c r="MNE129" s="18"/>
      <c r="MNF129" s="18"/>
      <c r="MNG129" s="18"/>
      <c r="MNH129" s="18"/>
      <c r="MNI129" s="18"/>
      <c r="MNJ129" s="18"/>
      <c r="MNK129" s="18"/>
      <c r="MNL129" s="18"/>
      <c r="MNM129" s="18"/>
      <c r="MNN129" s="18"/>
      <c r="MNO129" s="18"/>
      <c r="MNP129" s="18"/>
      <c r="MNQ129" s="18"/>
      <c r="MNR129" s="18"/>
      <c r="MNS129" s="18"/>
      <c r="MNT129" s="18"/>
      <c r="MNU129" s="18"/>
      <c r="MNV129" s="18"/>
      <c r="MNW129" s="18"/>
      <c r="MNX129" s="18"/>
      <c r="MNY129" s="18"/>
      <c r="MNZ129" s="18"/>
      <c r="MOA129" s="18"/>
      <c r="MOB129" s="18"/>
      <c r="MOC129" s="18"/>
      <c r="MOD129" s="18"/>
      <c r="MOE129" s="18"/>
      <c r="MOF129" s="18"/>
      <c r="MOG129" s="18"/>
      <c r="MOH129" s="18"/>
      <c r="MOI129" s="18"/>
      <c r="MOJ129" s="18"/>
      <c r="MOK129" s="18"/>
      <c r="MOL129" s="18"/>
      <c r="MOM129" s="18"/>
      <c r="MON129" s="18"/>
      <c r="MOO129" s="18"/>
      <c r="MOP129" s="18"/>
      <c r="MOQ129" s="18"/>
      <c r="MOR129" s="18"/>
      <c r="MOS129" s="18"/>
      <c r="MOT129" s="18"/>
      <c r="MOU129" s="18"/>
      <c r="MOV129" s="18"/>
      <c r="MOW129" s="18"/>
      <c r="MOX129" s="18"/>
      <c r="MOY129" s="18"/>
      <c r="MOZ129" s="18"/>
      <c r="MPA129" s="18"/>
      <c r="MPB129" s="18"/>
      <c r="MPC129" s="18"/>
      <c r="MPD129" s="18"/>
      <c r="MPE129" s="18"/>
      <c r="MPF129" s="18"/>
      <c r="MPG129" s="18"/>
      <c r="MPH129" s="18"/>
      <c r="MPI129" s="18"/>
      <c r="MPJ129" s="18"/>
      <c r="MPK129" s="18"/>
      <c r="MPL129" s="18"/>
      <c r="MPM129" s="18"/>
      <c r="MPN129" s="18"/>
      <c r="MPO129" s="18"/>
      <c r="MPP129" s="18"/>
      <c r="MPQ129" s="18"/>
      <c r="MPR129" s="18"/>
      <c r="MPS129" s="18"/>
      <c r="MPT129" s="18"/>
      <c r="MPU129" s="18"/>
      <c r="MPV129" s="18"/>
      <c r="MPW129" s="18"/>
      <c r="MPX129" s="18"/>
      <c r="MPY129" s="18"/>
      <c r="MPZ129" s="18"/>
      <c r="MQA129" s="18"/>
      <c r="MQB129" s="18"/>
      <c r="MQC129" s="18"/>
      <c r="MQD129" s="18"/>
      <c r="MQE129" s="18"/>
      <c r="MQF129" s="18"/>
      <c r="MQG129" s="18"/>
      <c r="MQH129" s="18"/>
      <c r="MQI129" s="18"/>
      <c r="MQJ129" s="18"/>
      <c r="MQK129" s="18"/>
      <c r="MQL129" s="18"/>
      <c r="MQM129" s="18"/>
      <c r="MQN129" s="18"/>
      <c r="MQO129" s="18"/>
      <c r="MQP129" s="18"/>
      <c r="MQQ129" s="18"/>
      <c r="MQR129" s="18"/>
      <c r="MQS129" s="18"/>
      <c r="MQT129" s="18"/>
      <c r="MQU129" s="18"/>
      <c r="MQV129" s="18"/>
      <c r="MQW129" s="18"/>
      <c r="MQX129" s="18"/>
      <c r="MQY129" s="18"/>
      <c r="MQZ129" s="18"/>
      <c r="MRA129" s="18"/>
      <c r="MRB129" s="18"/>
      <c r="MRC129" s="18"/>
      <c r="MRD129" s="18"/>
      <c r="MRE129" s="18"/>
      <c r="MRF129" s="18"/>
      <c r="MRG129" s="18"/>
      <c r="MRH129" s="18"/>
      <c r="MRI129" s="18"/>
      <c r="MRJ129" s="18"/>
      <c r="MRK129" s="18"/>
      <c r="MRL129" s="18"/>
      <c r="MRM129" s="18"/>
      <c r="MRN129" s="18"/>
      <c r="MRO129" s="18"/>
      <c r="MRP129" s="18"/>
      <c r="MRQ129" s="18"/>
      <c r="MRR129" s="18"/>
      <c r="MRS129" s="18"/>
      <c r="MRT129" s="18"/>
      <c r="MRU129" s="18"/>
      <c r="MRV129" s="18"/>
      <c r="MRW129" s="18"/>
      <c r="MRX129" s="18"/>
      <c r="MRY129" s="18"/>
      <c r="MRZ129" s="18"/>
      <c r="MSA129" s="18"/>
      <c r="MSB129" s="18"/>
      <c r="MSC129" s="18"/>
      <c r="MSD129" s="18"/>
      <c r="MSE129" s="18"/>
      <c r="MSF129" s="18"/>
      <c r="MSG129" s="18"/>
      <c r="MSH129" s="18"/>
      <c r="MSI129" s="18"/>
      <c r="MSJ129" s="18"/>
      <c r="MSK129" s="18"/>
      <c r="MSL129" s="18"/>
      <c r="MSM129" s="18"/>
      <c r="MSN129" s="18"/>
      <c r="MSO129" s="18"/>
      <c r="MSP129" s="18"/>
      <c r="MSQ129" s="18"/>
      <c r="MSR129" s="18"/>
      <c r="MSS129" s="18"/>
      <c r="MST129" s="18"/>
      <c r="MSU129" s="18"/>
      <c r="MSV129" s="18"/>
      <c r="MSW129" s="18"/>
      <c r="MSX129" s="18"/>
      <c r="MSY129" s="18"/>
      <c r="MSZ129" s="18"/>
      <c r="MTA129" s="18"/>
      <c r="MTB129" s="18"/>
      <c r="MTC129" s="18"/>
      <c r="MTD129" s="18"/>
      <c r="MTE129" s="18"/>
      <c r="MTF129" s="18"/>
      <c r="MTG129" s="18"/>
      <c r="MTH129" s="18"/>
      <c r="MTI129" s="18"/>
      <c r="MTJ129" s="18"/>
      <c r="MTK129" s="18"/>
      <c r="MTL129" s="18"/>
      <c r="MTM129" s="18"/>
      <c r="MTN129" s="18"/>
      <c r="MTO129" s="18"/>
      <c r="MTP129" s="18"/>
      <c r="MTQ129" s="18"/>
      <c r="MTR129" s="18"/>
      <c r="MTS129" s="18"/>
      <c r="MTT129" s="18"/>
      <c r="MTU129" s="18"/>
      <c r="MTV129" s="18"/>
      <c r="MTW129" s="18"/>
      <c r="MTX129" s="18"/>
      <c r="MTY129" s="18"/>
      <c r="MTZ129" s="18"/>
      <c r="MUA129" s="18"/>
      <c r="MUB129" s="18"/>
      <c r="MUC129" s="18"/>
      <c r="MUD129" s="18"/>
      <c r="MUE129" s="18"/>
      <c r="MUF129" s="18"/>
      <c r="MUG129" s="18"/>
      <c r="MUH129" s="18"/>
      <c r="MUI129" s="18"/>
      <c r="MUJ129" s="18"/>
      <c r="MUK129" s="18"/>
      <c r="MUL129" s="18"/>
      <c r="MUM129" s="18"/>
      <c r="MUN129" s="18"/>
      <c r="MUO129" s="18"/>
      <c r="MUP129" s="18"/>
      <c r="MUQ129" s="18"/>
      <c r="MUR129" s="18"/>
      <c r="MUS129" s="18"/>
      <c r="MUT129" s="18"/>
      <c r="MUU129" s="18"/>
      <c r="MUV129" s="18"/>
      <c r="MUW129" s="18"/>
      <c r="MUX129" s="18"/>
      <c r="MUY129" s="18"/>
      <c r="MUZ129" s="18"/>
      <c r="MVA129" s="18"/>
      <c r="MVB129" s="18"/>
      <c r="MVC129" s="18"/>
      <c r="MVD129" s="18"/>
      <c r="MVE129" s="18"/>
      <c r="MVF129" s="18"/>
      <c r="MVG129" s="18"/>
      <c r="MVH129" s="18"/>
      <c r="MVI129" s="18"/>
      <c r="MVJ129" s="18"/>
      <c r="MVK129" s="18"/>
      <c r="MVL129" s="18"/>
      <c r="MVM129" s="18"/>
      <c r="MVN129" s="18"/>
      <c r="MVO129" s="18"/>
      <c r="MVP129" s="18"/>
      <c r="MVQ129" s="18"/>
      <c r="MVR129" s="18"/>
      <c r="MVS129" s="18"/>
      <c r="MVT129" s="18"/>
      <c r="MVU129" s="18"/>
      <c r="MVV129" s="18"/>
      <c r="MVW129" s="18"/>
      <c r="MVX129" s="18"/>
      <c r="MVY129" s="18"/>
      <c r="MVZ129" s="18"/>
      <c r="MWA129" s="18"/>
      <c r="MWB129" s="18"/>
      <c r="MWC129" s="18"/>
      <c r="MWD129" s="18"/>
      <c r="MWE129" s="18"/>
      <c r="MWF129" s="18"/>
      <c r="MWG129" s="18"/>
      <c r="MWH129" s="18"/>
      <c r="MWI129" s="18"/>
      <c r="MWJ129" s="18"/>
      <c r="MWK129" s="18"/>
      <c r="MWL129" s="18"/>
      <c r="MWM129" s="18"/>
      <c r="MWN129" s="18"/>
      <c r="MWO129" s="18"/>
      <c r="MWP129" s="18"/>
      <c r="MWQ129" s="18"/>
      <c r="MWR129" s="18"/>
      <c r="MWS129" s="18"/>
      <c r="MWT129" s="18"/>
      <c r="MWU129" s="18"/>
      <c r="MWV129" s="18"/>
      <c r="MWW129" s="18"/>
      <c r="MWX129" s="18"/>
      <c r="MWY129" s="18"/>
      <c r="MWZ129" s="18"/>
      <c r="MXA129" s="18"/>
      <c r="MXB129" s="18"/>
      <c r="MXC129" s="18"/>
      <c r="MXD129" s="18"/>
      <c r="MXE129" s="18"/>
      <c r="MXF129" s="18"/>
      <c r="MXG129" s="18"/>
      <c r="MXH129" s="18"/>
      <c r="MXI129" s="18"/>
      <c r="MXJ129" s="18"/>
      <c r="MXK129" s="18"/>
      <c r="MXL129" s="18"/>
      <c r="MXM129" s="18"/>
      <c r="MXN129" s="18"/>
      <c r="MXO129" s="18"/>
      <c r="MXP129" s="18"/>
      <c r="MXQ129" s="18"/>
      <c r="MXR129" s="18"/>
      <c r="MXS129" s="18"/>
      <c r="MXT129" s="18"/>
      <c r="MXU129" s="18"/>
      <c r="MXV129" s="18"/>
      <c r="MXW129" s="18"/>
      <c r="MXX129" s="18"/>
      <c r="MXY129" s="18"/>
      <c r="MXZ129" s="18"/>
      <c r="MYA129" s="18"/>
      <c r="MYB129" s="18"/>
      <c r="MYC129" s="18"/>
      <c r="MYD129" s="18"/>
      <c r="MYE129" s="18"/>
      <c r="MYF129" s="18"/>
      <c r="MYG129" s="18"/>
      <c r="MYH129" s="18"/>
      <c r="MYI129" s="18"/>
      <c r="MYJ129" s="18"/>
      <c r="MYK129" s="18"/>
      <c r="MYL129" s="18"/>
      <c r="MYM129" s="18"/>
      <c r="MYN129" s="18"/>
      <c r="MYO129" s="18"/>
      <c r="MYP129" s="18"/>
      <c r="MYQ129" s="18"/>
      <c r="MYR129" s="18"/>
      <c r="MYS129" s="18"/>
      <c r="MYT129" s="18"/>
      <c r="MYU129" s="18"/>
      <c r="MYV129" s="18"/>
      <c r="MYW129" s="18"/>
      <c r="MYX129" s="18"/>
      <c r="MYY129" s="18"/>
      <c r="MYZ129" s="18"/>
      <c r="MZA129" s="18"/>
      <c r="MZB129" s="18"/>
      <c r="MZC129" s="18"/>
      <c r="MZD129" s="18"/>
      <c r="MZE129" s="18"/>
      <c r="MZF129" s="18"/>
      <c r="MZG129" s="18"/>
      <c r="MZH129" s="18"/>
      <c r="MZI129" s="18"/>
      <c r="MZJ129" s="18"/>
      <c r="MZK129" s="18"/>
      <c r="MZL129" s="18"/>
      <c r="MZM129" s="18"/>
      <c r="MZN129" s="18"/>
      <c r="MZO129" s="18"/>
      <c r="MZP129" s="18"/>
      <c r="MZQ129" s="18"/>
      <c r="MZR129" s="18"/>
      <c r="MZS129" s="18"/>
      <c r="MZT129" s="18"/>
      <c r="MZU129" s="18"/>
      <c r="MZV129" s="18"/>
      <c r="MZW129" s="18"/>
      <c r="MZX129" s="18"/>
      <c r="MZY129" s="18"/>
      <c r="MZZ129" s="18"/>
      <c r="NAA129" s="18"/>
      <c r="NAB129" s="18"/>
      <c r="NAC129" s="18"/>
      <c r="NAD129" s="18"/>
      <c r="NAE129" s="18"/>
      <c r="NAF129" s="18"/>
      <c r="NAG129" s="18"/>
      <c r="NAH129" s="18"/>
      <c r="NAI129" s="18"/>
      <c r="NAJ129" s="18"/>
      <c r="NAK129" s="18"/>
      <c r="NAL129" s="18"/>
      <c r="NAM129" s="18"/>
      <c r="NAN129" s="18"/>
      <c r="NAO129" s="18"/>
      <c r="NAP129" s="18"/>
      <c r="NAQ129" s="18"/>
      <c r="NAR129" s="18"/>
      <c r="NAS129" s="18"/>
      <c r="NAT129" s="18"/>
      <c r="NAU129" s="18"/>
      <c r="NAV129" s="18"/>
      <c r="NAW129" s="18"/>
      <c r="NAX129" s="18"/>
      <c r="NAY129" s="18"/>
      <c r="NAZ129" s="18"/>
      <c r="NBA129" s="18"/>
      <c r="NBB129" s="18"/>
      <c r="NBC129" s="18"/>
      <c r="NBD129" s="18"/>
      <c r="NBE129" s="18"/>
      <c r="NBF129" s="18"/>
      <c r="NBG129" s="18"/>
      <c r="NBH129" s="18"/>
      <c r="NBI129" s="18"/>
      <c r="NBJ129" s="18"/>
      <c r="NBK129" s="18"/>
      <c r="NBL129" s="18"/>
      <c r="NBM129" s="18"/>
      <c r="NBN129" s="18"/>
      <c r="NBO129" s="18"/>
      <c r="NBP129" s="18"/>
      <c r="NBQ129" s="18"/>
      <c r="NBR129" s="18"/>
      <c r="NBS129" s="18"/>
      <c r="NBT129" s="18"/>
      <c r="NBU129" s="18"/>
      <c r="NBV129" s="18"/>
      <c r="NBW129" s="18"/>
      <c r="NBX129" s="18"/>
      <c r="NBY129" s="18"/>
      <c r="NBZ129" s="18"/>
      <c r="NCA129" s="18"/>
      <c r="NCB129" s="18"/>
      <c r="NCC129" s="18"/>
      <c r="NCD129" s="18"/>
      <c r="NCE129" s="18"/>
      <c r="NCF129" s="18"/>
      <c r="NCG129" s="18"/>
      <c r="NCH129" s="18"/>
      <c r="NCI129" s="18"/>
      <c r="NCJ129" s="18"/>
      <c r="NCK129" s="18"/>
      <c r="NCL129" s="18"/>
      <c r="NCM129" s="18"/>
      <c r="NCN129" s="18"/>
      <c r="NCO129" s="18"/>
      <c r="NCP129" s="18"/>
      <c r="NCQ129" s="18"/>
      <c r="NCR129" s="18"/>
      <c r="NCS129" s="18"/>
      <c r="NCT129" s="18"/>
      <c r="NCU129" s="18"/>
      <c r="NCV129" s="18"/>
      <c r="NCW129" s="18"/>
      <c r="NCX129" s="18"/>
      <c r="NCY129" s="18"/>
      <c r="NCZ129" s="18"/>
      <c r="NDA129" s="18"/>
      <c r="NDB129" s="18"/>
      <c r="NDC129" s="18"/>
      <c r="NDD129" s="18"/>
      <c r="NDE129" s="18"/>
      <c r="NDF129" s="18"/>
      <c r="NDG129" s="18"/>
      <c r="NDH129" s="18"/>
      <c r="NDI129" s="18"/>
      <c r="NDJ129" s="18"/>
      <c r="NDK129" s="18"/>
      <c r="NDL129" s="18"/>
      <c r="NDM129" s="18"/>
      <c r="NDN129" s="18"/>
      <c r="NDO129" s="18"/>
      <c r="NDP129" s="18"/>
      <c r="NDQ129" s="18"/>
      <c r="NDR129" s="18"/>
      <c r="NDS129" s="18"/>
      <c r="NDT129" s="18"/>
      <c r="NDU129" s="18"/>
      <c r="NDV129" s="18"/>
      <c r="NDW129" s="18"/>
      <c r="NDX129" s="18"/>
      <c r="NDY129" s="18"/>
      <c r="NDZ129" s="18"/>
      <c r="NEA129" s="18"/>
      <c r="NEB129" s="18"/>
      <c r="NEC129" s="18"/>
      <c r="NED129" s="18"/>
      <c r="NEE129" s="18"/>
      <c r="NEF129" s="18"/>
      <c r="NEG129" s="18"/>
      <c r="NEH129" s="18"/>
      <c r="NEI129" s="18"/>
      <c r="NEJ129" s="18"/>
      <c r="NEK129" s="18"/>
      <c r="NEL129" s="18"/>
      <c r="NEM129" s="18"/>
      <c r="NEN129" s="18"/>
      <c r="NEO129" s="18"/>
      <c r="NEP129" s="18"/>
      <c r="NEQ129" s="18"/>
      <c r="NER129" s="18"/>
      <c r="NES129" s="18"/>
      <c r="NET129" s="18"/>
      <c r="NEU129" s="18"/>
      <c r="NEV129" s="18"/>
      <c r="NEW129" s="18"/>
      <c r="NEX129" s="18"/>
      <c r="NEY129" s="18"/>
      <c r="NEZ129" s="18"/>
      <c r="NFA129" s="18"/>
      <c r="NFB129" s="18"/>
      <c r="NFC129" s="18"/>
      <c r="NFD129" s="18"/>
      <c r="NFE129" s="18"/>
      <c r="NFF129" s="18"/>
      <c r="NFG129" s="18"/>
      <c r="NFH129" s="18"/>
      <c r="NFI129" s="18"/>
      <c r="NFJ129" s="18"/>
      <c r="NFK129" s="18"/>
      <c r="NFL129" s="18"/>
      <c r="NFM129" s="18"/>
      <c r="NFN129" s="18"/>
      <c r="NFO129" s="18"/>
      <c r="NFP129" s="18"/>
      <c r="NFQ129" s="18"/>
      <c r="NFR129" s="18"/>
      <c r="NFS129" s="18"/>
      <c r="NFT129" s="18"/>
      <c r="NFU129" s="18"/>
      <c r="NFV129" s="18"/>
      <c r="NFW129" s="18"/>
      <c r="NFX129" s="18"/>
      <c r="NFY129" s="18"/>
      <c r="NFZ129" s="18"/>
      <c r="NGA129" s="18"/>
      <c r="NGB129" s="18"/>
      <c r="NGC129" s="18"/>
      <c r="NGD129" s="18"/>
      <c r="NGE129" s="18"/>
      <c r="NGF129" s="18"/>
      <c r="NGG129" s="18"/>
      <c r="NGH129" s="18"/>
      <c r="NGI129" s="18"/>
      <c r="NGJ129" s="18"/>
      <c r="NGK129" s="18"/>
      <c r="NGL129" s="18"/>
      <c r="NGM129" s="18"/>
      <c r="NGN129" s="18"/>
      <c r="NGO129" s="18"/>
      <c r="NGP129" s="18"/>
      <c r="NGQ129" s="18"/>
      <c r="NGR129" s="18"/>
      <c r="NGS129" s="18"/>
      <c r="NGT129" s="18"/>
      <c r="NGU129" s="18"/>
      <c r="NGV129" s="18"/>
      <c r="NGW129" s="18"/>
      <c r="NGX129" s="18"/>
      <c r="NGY129" s="18"/>
      <c r="NGZ129" s="18"/>
      <c r="NHA129" s="18"/>
      <c r="NHB129" s="18"/>
      <c r="NHC129" s="18"/>
      <c r="NHD129" s="18"/>
      <c r="NHE129" s="18"/>
      <c r="NHF129" s="18"/>
      <c r="NHG129" s="18"/>
      <c r="NHH129" s="18"/>
      <c r="NHI129" s="18"/>
      <c r="NHJ129" s="18"/>
      <c r="NHK129" s="18"/>
      <c r="NHL129" s="18"/>
      <c r="NHM129" s="18"/>
      <c r="NHN129" s="18"/>
      <c r="NHO129" s="18"/>
      <c r="NHP129" s="18"/>
      <c r="NHQ129" s="18"/>
      <c r="NHR129" s="18"/>
      <c r="NHS129" s="18"/>
      <c r="NHT129" s="18"/>
      <c r="NHU129" s="18"/>
      <c r="NHV129" s="18"/>
      <c r="NHW129" s="18"/>
      <c r="NHX129" s="18"/>
      <c r="NHY129" s="18"/>
      <c r="NHZ129" s="18"/>
      <c r="NIA129" s="18"/>
      <c r="NIB129" s="18"/>
      <c r="NIC129" s="18"/>
      <c r="NID129" s="18"/>
      <c r="NIE129" s="18"/>
      <c r="NIF129" s="18"/>
      <c r="NIG129" s="18"/>
      <c r="NIH129" s="18"/>
      <c r="NII129" s="18"/>
      <c r="NIJ129" s="18"/>
      <c r="NIK129" s="18"/>
      <c r="NIL129" s="18"/>
      <c r="NIM129" s="18"/>
      <c r="NIN129" s="18"/>
      <c r="NIO129" s="18"/>
      <c r="NIP129" s="18"/>
      <c r="NIQ129" s="18"/>
      <c r="NIR129" s="18"/>
      <c r="NIS129" s="18"/>
      <c r="NIT129" s="18"/>
      <c r="NIU129" s="18"/>
      <c r="NIV129" s="18"/>
      <c r="NIW129" s="18"/>
      <c r="NIX129" s="18"/>
      <c r="NIY129" s="18"/>
      <c r="NIZ129" s="18"/>
      <c r="NJA129" s="18"/>
      <c r="NJB129" s="18"/>
      <c r="NJC129" s="18"/>
      <c r="NJD129" s="18"/>
      <c r="NJE129" s="18"/>
      <c r="NJF129" s="18"/>
      <c r="NJG129" s="18"/>
      <c r="NJH129" s="18"/>
      <c r="NJI129" s="18"/>
      <c r="NJJ129" s="18"/>
      <c r="NJK129" s="18"/>
      <c r="NJL129" s="18"/>
      <c r="NJM129" s="18"/>
      <c r="NJN129" s="18"/>
      <c r="NJO129" s="18"/>
      <c r="NJP129" s="18"/>
      <c r="NJQ129" s="18"/>
      <c r="NJR129" s="18"/>
      <c r="NJS129" s="18"/>
      <c r="NJT129" s="18"/>
      <c r="NJU129" s="18"/>
      <c r="NJV129" s="18"/>
      <c r="NJW129" s="18"/>
      <c r="NJX129" s="18"/>
      <c r="NJY129" s="18"/>
      <c r="NJZ129" s="18"/>
      <c r="NKA129" s="18"/>
      <c r="NKB129" s="18"/>
      <c r="NKC129" s="18"/>
      <c r="NKD129" s="18"/>
      <c r="NKE129" s="18"/>
      <c r="NKF129" s="18"/>
      <c r="NKG129" s="18"/>
      <c r="NKH129" s="18"/>
      <c r="NKI129" s="18"/>
      <c r="NKJ129" s="18"/>
      <c r="NKK129" s="18"/>
      <c r="NKL129" s="18"/>
      <c r="NKM129" s="18"/>
      <c r="NKN129" s="18"/>
      <c r="NKO129" s="18"/>
      <c r="NKP129" s="18"/>
      <c r="NKQ129" s="18"/>
      <c r="NKR129" s="18"/>
      <c r="NKS129" s="18"/>
      <c r="NKT129" s="18"/>
      <c r="NKU129" s="18"/>
      <c r="NKV129" s="18"/>
      <c r="NKW129" s="18"/>
      <c r="NKX129" s="18"/>
      <c r="NKY129" s="18"/>
      <c r="NKZ129" s="18"/>
      <c r="NLA129" s="18"/>
      <c r="NLB129" s="18"/>
      <c r="NLC129" s="18"/>
      <c r="NLD129" s="18"/>
      <c r="NLE129" s="18"/>
      <c r="NLF129" s="18"/>
      <c r="NLG129" s="18"/>
      <c r="NLH129" s="18"/>
      <c r="NLI129" s="18"/>
      <c r="NLJ129" s="18"/>
      <c r="NLK129" s="18"/>
      <c r="NLL129" s="18"/>
      <c r="NLM129" s="18"/>
      <c r="NLN129" s="18"/>
      <c r="NLO129" s="18"/>
      <c r="NLP129" s="18"/>
      <c r="NLQ129" s="18"/>
      <c r="NLR129" s="18"/>
      <c r="NLS129" s="18"/>
      <c r="NLT129" s="18"/>
      <c r="NLU129" s="18"/>
      <c r="NLV129" s="18"/>
      <c r="NLW129" s="18"/>
      <c r="NLX129" s="18"/>
      <c r="NLY129" s="18"/>
      <c r="NLZ129" s="18"/>
      <c r="NMA129" s="18"/>
      <c r="NMB129" s="18"/>
      <c r="NMC129" s="18"/>
      <c r="NMD129" s="18"/>
      <c r="NME129" s="18"/>
      <c r="NMF129" s="18"/>
      <c r="NMG129" s="18"/>
      <c r="NMH129" s="18"/>
      <c r="NMI129" s="18"/>
      <c r="NMJ129" s="18"/>
      <c r="NMK129" s="18"/>
      <c r="NML129" s="18"/>
      <c r="NMM129" s="18"/>
      <c r="NMN129" s="18"/>
      <c r="NMO129" s="18"/>
      <c r="NMP129" s="18"/>
      <c r="NMQ129" s="18"/>
      <c r="NMR129" s="18"/>
      <c r="NMS129" s="18"/>
      <c r="NMT129" s="18"/>
      <c r="NMU129" s="18"/>
      <c r="NMV129" s="18"/>
      <c r="NMW129" s="18"/>
      <c r="NMX129" s="18"/>
      <c r="NMY129" s="18"/>
      <c r="NMZ129" s="18"/>
      <c r="NNA129" s="18"/>
      <c r="NNB129" s="18"/>
      <c r="NNC129" s="18"/>
      <c r="NND129" s="18"/>
      <c r="NNE129" s="18"/>
      <c r="NNF129" s="18"/>
      <c r="NNG129" s="18"/>
      <c r="NNH129" s="18"/>
      <c r="NNI129" s="18"/>
      <c r="NNJ129" s="18"/>
      <c r="NNK129" s="18"/>
      <c r="NNL129" s="18"/>
      <c r="NNM129" s="18"/>
      <c r="NNN129" s="18"/>
      <c r="NNO129" s="18"/>
      <c r="NNP129" s="18"/>
      <c r="NNQ129" s="18"/>
      <c r="NNR129" s="18"/>
      <c r="NNS129" s="18"/>
      <c r="NNT129" s="18"/>
      <c r="NNU129" s="18"/>
      <c r="NNV129" s="18"/>
      <c r="NNW129" s="18"/>
      <c r="NNX129" s="18"/>
      <c r="NNY129" s="18"/>
      <c r="NNZ129" s="18"/>
      <c r="NOA129" s="18"/>
      <c r="NOB129" s="18"/>
      <c r="NOC129" s="18"/>
      <c r="NOD129" s="18"/>
      <c r="NOE129" s="18"/>
      <c r="NOF129" s="18"/>
      <c r="NOG129" s="18"/>
      <c r="NOH129" s="18"/>
      <c r="NOI129" s="18"/>
      <c r="NOJ129" s="18"/>
      <c r="NOK129" s="18"/>
      <c r="NOL129" s="18"/>
      <c r="NOM129" s="18"/>
      <c r="NON129" s="18"/>
      <c r="NOO129" s="18"/>
      <c r="NOP129" s="18"/>
      <c r="NOQ129" s="18"/>
      <c r="NOR129" s="18"/>
      <c r="NOS129" s="18"/>
      <c r="NOT129" s="18"/>
      <c r="NOU129" s="18"/>
      <c r="NOV129" s="18"/>
      <c r="NOW129" s="18"/>
      <c r="NOX129" s="18"/>
      <c r="NOY129" s="18"/>
      <c r="NOZ129" s="18"/>
      <c r="NPA129" s="18"/>
      <c r="NPB129" s="18"/>
      <c r="NPC129" s="18"/>
      <c r="NPD129" s="18"/>
      <c r="NPE129" s="18"/>
      <c r="NPF129" s="18"/>
      <c r="NPG129" s="18"/>
      <c r="NPH129" s="18"/>
      <c r="NPI129" s="18"/>
      <c r="NPJ129" s="18"/>
      <c r="NPK129" s="18"/>
      <c r="NPL129" s="18"/>
      <c r="NPM129" s="18"/>
      <c r="NPN129" s="18"/>
      <c r="NPO129" s="18"/>
      <c r="NPP129" s="18"/>
      <c r="NPQ129" s="18"/>
      <c r="NPR129" s="18"/>
      <c r="NPS129" s="18"/>
      <c r="NPT129" s="18"/>
      <c r="NPU129" s="18"/>
      <c r="NPV129" s="18"/>
      <c r="NPW129" s="18"/>
      <c r="NPX129" s="18"/>
      <c r="NPY129" s="18"/>
      <c r="NPZ129" s="18"/>
      <c r="NQA129" s="18"/>
      <c r="NQB129" s="18"/>
      <c r="NQC129" s="18"/>
      <c r="NQD129" s="18"/>
      <c r="NQE129" s="18"/>
      <c r="NQF129" s="18"/>
      <c r="NQG129" s="18"/>
      <c r="NQH129" s="18"/>
      <c r="NQI129" s="18"/>
      <c r="NQJ129" s="18"/>
      <c r="NQK129" s="18"/>
      <c r="NQL129" s="18"/>
      <c r="NQM129" s="18"/>
      <c r="NQN129" s="18"/>
      <c r="NQO129" s="18"/>
      <c r="NQP129" s="18"/>
      <c r="NQQ129" s="18"/>
      <c r="NQR129" s="18"/>
      <c r="NQS129" s="18"/>
      <c r="NQT129" s="18"/>
      <c r="NQU129" s="18"/>
      <c r="NQV129" s="18"/>
      <c r="NQW129" s="18"/>
      <c r="NQX129" s="18"/>
      <c r="NQY129" s="18"/>
      <c r="NQZ129" s="18"/>
      <c r="NRA129" s="18"/>
      <c r="NRB129" s="18"/>
      <c r="NRC129" s="18"/>
      <c r="NRD129" s="18"/>
      <c r="NRE129" s="18"/>
      <c r="NRF129" s="18"/>
      <c r="NRG129" s="18"/>
      <c r="NRH129" s="18"/>
      <c r="NRI129" s="18"/>
      <c r="NRJ129" s="18"/>
      <c r="NRK129" s="18"/>
      <c r="NRL129" s="18"/>
      <c r="NRM129" s="18"/>
      <c r="NRN129" s="18"/>
      <c r="NRO129" s="18"/>
      <c r="NRP129" s="18"/>
      <c r="NRQ129" s="18"/>
      <c r="NRR129" s="18"/>
      <c r="NRS129" s="18"/>
      <c r="NRT129" s="18"/>
      <c r="NRU129" s="18"/>
      <c r="NRV129" s="18"/>
      <c r="NRW129" s="18"/>
      <c r="NRX129" s="18"/>
      <c r="NRY129" s="18"/>
      <c r="NRZ129" s="18"/>
      <c r="NSA129" s="18"/>
      <c r="NSB129" s="18"/>
      <c r="NSC129" s="18"/>
      <c r="NSD129" s="18"/>
      <c r="NSE129" s="18"/>
      <c r="NSF129" s="18"/>
      <c r="NSG129" s="18"/>
      <c r="NSH129" s="18"/>
      <c r="NSI129" s="18"/>
      <c r="NSJ129" s="18"/>
      <c r="NSK129" s="18"/>
      <c r="NSL129" s="18"/>
      <c r="NSM129" s="18"/>
      <c r="NSN129" s="18"/>
      <c r="NSO129" s="18"/>
      <c r="NSP129" s="18"/>
      <c r="NSQ129" s="18"/>
      <c r="NSR129" s="18"/>
      <c r="NSS129" s="18"/>
      <c r="NST129" s="18"/>
      <c r="NSU129" s="18"/>
      <c r="NSV129" s="18"/>
      <c r="NSW129" s="18"/>
      <c r="NSX129" s="18"/>
      <c r="NSY129" s="18"/>
      <c r="NSZ129" s="18"/>
      <c r="NTA129" s="18"/>
      <c r="NTB129" s="18"/>
      <c r="NTC129" s="18"/>
      <c r="NTD129" s="18"/>
      <c r="NTE129" s="18"/>
      <c r="NTF129" s="18"/>
      <c r="NTG129" s="18"/>
      <c r="NTH129" s="18"/>
      <c r="NTI129" s="18"/>
      <c r="NTJ129" s="18"/>
      <c r="NTK129" s="18"/>
      <c r="NTL129" s="18"/>
      <c r="NTM129" s="18"/>
      <c r="NTN129" s="18"/>
      <c r="NTO129" s="18"/>
      <c r="NTP129" s="18"/>
      <c r="NTQ129" s="18"/>
      <c r="NTR129" s="18"/>
      <c r="NTS129" s="18"/>
      <c r="NTT129" s="18"/>
      <c r="NTU129" s="18"/>
      <c r="NTV129" s="18"/>
      <c r="NTW129" s="18"/>
      <c r="NTX129" s="18"/>
      <c r="NTY129" s="18"/>
      <c r="NTZ129" s="18"/>
      <c r="NUA129" s="18"/>
      <c r="NUB129" s="18"/>
      <c r="NUC129" s="18"/>
      <c r="NUD129" s="18"/>
      <c r="NUE129" s="18"/>
      <c r="NUF129" s="18"/>
      <c r="NUG129" s="18"/>
      <c r="NUH129" s="18"/>
      <c r="NUI129" s="18"/>
      <c r="NUJ129" s="18"/>
      <c r="NUK129" s="18"/>
      <c r="NUL129" s="18"/>
      <c r="NUM129" s="18"/>
      <c r="NUN129" s="18"/>
      <c r="NUO129" s="18"/>
      <c r="NUP129" s="18"/>
      <c r="NUQ129" s="18"/>
      <c r="NUR129" s="18"/>
      <c r="NUS129" s="18"/>
      <c r="NUT129" s="18"/>
      <c r="NUU129" s="18"/>
      <c r="NUV129" s="18"/>
      <c r="NUW129" s="18"/>
      <c r="NUX129" s="18"/>
      <c r="NUY129" s="18"/>
      <c r="NUZ129" s="18"/>
      <c r="NVA129" s="18"/>
      <c r="NVB129" s="18"/>
      <c r="NVC129" s="18"/>
      <c r="NVD129" s="18"/>
      <c r="NVE129" s="18"/>
      <c r="NVF129" s="18"/>
      <c r="NVG129" s="18"/>
      <c r="NVH129" s="18"/>
      <c r="NVI129" s="18"/>
      <c r="NVJ129" s="18"/>
      <c r="NVK129" s="18"/>
      <c r="NVL129" s="18"/>
      <c r="NVM129" s="18"/>
      <c r="NVN129" s="18"/>
      <c r="NVO129" s="18"/>
      <c r="NVP129" s="18"/>
      <c r="NVQ129" s="18"/>
      <c r="NVR129" s="18"/>
      <c r="NVS129" s="18"/>
      <c r="NVT129" s="18"/>
      <c r="NVU129" s="18"/>
      <c r="NVV129" s="18"/>
      <c r="NVW129" s="18"/>
      <c r="NVX129" s="18"/>
      <c r="NVY129" s="18"/>
      <c r="NVZ129" s="18"/>
      <c r="NWA129" s="18"/>
      <c r="NWB129" s="18"/>
      <c r="NWC129" s="18"/>
      <c r="NWD129" s="18"/>
      <c r="NWE129" s="18"/>
      <c r="NWF129" s="18"/>
      <c r="NWG129" s="18"/>
      <c r="NWH129" s="18"/>
      <c r="NWI129" s="18"/>
      <c r="NWJ129" s="18"/>
      <c r="NWK129" s="18"/>
      <c r="NWL129" s="18"/>
      <c r="NWM129" s="18"/>
      <c r="NWN129" s="18"/>
      <c r="NWO129" s="18"/>
      <c r="NWP129" s="18"/>
      <c r="NWQ129" s="18"/>
      <c r="NWR129" s="18"/>
      <c r="NWS129" s="18"/>
      <c r="NWT129" s="18"/>
      <c r="NWU129" s="18"/>
      <c r="NWV129" s="18"/>
      <c r="NWW129" s="18"/>
      <c r="NWX129" s="18"/>
      <c r="NWY129" s="18"/>
      <c r="NWZ129" s="18"/>
      <c r="NXA129" s="18"/>
      <c r="NXB129" s="18"/>
      <c r="NXC129" s="18"/>
      <c r="NXD129" s="18"/>
      <c r="NXE129" s="18"/>
      <c r="NXF129" s="18"/>
      <c r="NXG129" s="18"/>
      <c r="NXH129" s="18"/>
      <c r="NXI129" s="18"/>
      <c r="NXJ129" s="18"/>
      <c r="NXK129" s="18"/>
      <c r="NXL129" s="18"/>
      <c r="NXM129" s="18"/>
      <c r="NXN129" s="18"/>
      <c r="NXO129" s="18"/>
      <c r="NXP129" s="18"/>
      <c r="NXQ129" s="18"/>
      <c r="NXR129" s="18"/>
      <c r="NXS129" s="18"/>
      <c r="NXT129" s="18"/>
      <c r="NXU129" s="18"/>
      <c r="NXV129" s="18"/>
      <c r="NXW129" s="18"/>
      <c r="NXX129" s="18"/>
      <c r="NXY129" s="18"/>
      <c r="NXZ129" s="18"/>
      <c r="NYA129" s="18"/>
      <c r="NYB129" s="18"/>
      <c r="NYC129" s="18"/>
      <c r="NYD129" s="18"/>
      <c r="NYE129" s="18"/>
      <c r="NYF129" s="18"/>
      <c r="NYG129" s="18"/>
      <c r="NYH129" s="18"/>
      <c r="NYI129" s="18"/>
      <c r="NYJ129" s="18"/>
      <c r="NYK129" s="18"/>
      <c r="NYL129" s="18"/>
      <c r="NYM129" s="18"/>
      <c r="NYN129" s="18"/>
      <c r="NYO129" s="18"/>
      <c r="NYP129" s="18"/>
      <c r="NYQ129" s="18"/>
      <c r="NYR129" s="18"/>
      <c r="NYS129" s="18"/>
      <c r="NYT129" s="18"/>
      <c r="NYU129" s="18"/>
      <c r="NYV129" s="18"/>
      <c r="NYW129" s="18"/>
      <c r="NYX129" s="18"/>
      <c r="NYY129" s="18"/>
      <c r="NYZ129" s="18"/>
      <c r="NZA129" s="18"/>
      <c r="NZB129" s="18"/>
      <c r="NZC129" s="18"/>
      <c r="NZD129" s="18"/>
      <c r="NZE129" s="18"/>
      <c r="NZF129" s="18"/>
      <c r="NZG129" s="18"/>
      <c r="NZH129" s="18"/>
      <c r="NZI129" s="18"/>
      <c r="NZJ129" s="18"/>
      <c r="NZK129" s="18"/>
      <c r="NZL129" s="18"/>
      <c r="NZM129" s="18"/>
      <c r="NZN129" s="18"/>
      <c r="NZO129" s="18"/>
      <c r="NZP129" s="18"/>
      <c r="NZQ129" s="18"/>
      <c r="NZR129" s="18"/>
      <c r="NZS129" s="18"/>
      <c r="NZT129" s="18"/>
      <c r="NZU129" s="18"/>
      <c r="NZV129" s="18"/>
      <c r="NZW129" s="18"/>
      <c r="NZX129" s="18"/>
      <c r="NZY129" s="18"/>
      <c r="NZZ129" s="18"/>
      <c r="OAA129" s="18"/>
      <c r="OAB129" s="18"/>
      <c r="OAC129" s="18"/>
      <c r="OAD129" s="18"/>
      <c r="OAE129" s="18"/>
      <c r="OAF129" s="18"/>
      <c r="OAG129" s="18"/>
      <c r="OAH129" s="18"/>
      <c r="OAI129" s="18"/>
      <c r="OAJ129" s="18"/>
      <c r="OAK129" s="18"/>
      <c r="OAL129" s="18"/>
      <c r="OAM129" s="18"/>
      <c r="OAN129" s="18"/>
      <c r="OAO129" s="18"/>
      <c r="OAP129" s="18"/>
      <c r="OAQ129" s="18"/>
      <c r="OAR129" s="18"/>
      <c r="OAS129" s="18"/>
      <c r="OAT129" s="18"/>
      <c r="OAU129" s="18"/>
      <c r="OAV129" s="18"/>
      <c r="OAW129" s="18"/>
      <c r="OAX129" s="18"/>
      <c r="OAY129" s="18"/>
      <c r="OAZ129" s="18"/>
      <c r="OBA129" s="18"/>
      <c r="OBB129" s="18"/>
      <c r="OBC129" s="18"/>
      <c r="OBD129" s="18"/>
      <c r="OBE129" s="18"/>
      <c r="OBF129" s="18"/>
      <c r="OBG129" s="18"/>
      <c r="OBH129" s="18"/>
      <c r="OBI129" s="18"/>
      <c r="OBJ129" s="18"/>
      <c r="OBK129" s="18"/>
      <c r="OBL129" s="18"/>
      <c r="OBM129" s="18"/>
      <c r="OBN129" s="18"/>
      <c r="OBO129" s="18"/>
      <c r="OBP129" s="18"/>
      <c r="OBQ129" s="18"/>
      <c r="OBR129" s="18"/>
      <c r="OBS129" s="18"/>
      <c r="OBT129" s="18"/>
      <c r="OBU129" s="18"/>
      <c r="OBV129" s="18"/>
      <c r="OBW129" s="18"/>
      <c r="OBX129" s="18"/>
      <c r="OBY129" s="18"/>
      <c r="OBZ129" s="18"/>
      <c r="OCA129" s="18"/>
      <c r="OCB129" s="18"/>
      <c r="OCC129" s="18"/>
      <c r="OCD129" s="18"/>
      <c r="OCE129" s="18"/>
      <c r="OCF129" s="18"/>
      <c r="OCG129" s="18"/>
      <c r="OCH129" s="18"/>
      <c r="OCI129" s="18"/>
      <c r="OCJ129" s="18"/>
      <c r="OCK129" s="18"/>
      <c r="OCL129" s="18"/>
      <c r="OCM129" s="18"/>
      <c r="OCN129" s="18"/>
      <c r="OCO129" s="18"/>
      <c r="OCP129" s="18"/>
      <c r="OCQ129" s="18"/>
      <c r="OCR129" s="18"/>
      <c r="OCS129" s="18"/>
      <c r="OCT129" s="18"/>
      <c r="OCU129" s="18"/>
      <c r="OCV129" s="18"/>
      <c r="OCW129" s="18"/>
      <c r="OCX129" s="18"/>
      <c r="OCY129" s="18"/>
      <c r="OCZ129" s="18"/>
      <c r="ODA129" s="18"/>
      <c r="ODB129" s="18"/>
      <c r="ODC129" s="18"/>
      <c r="ODD129" s="18"/>
      <c r="ODE129" s="18"/>
      <c r="ODF129" s="18"/>
      <c r="ODG129" s="18"/>
      <c r="ODH129" s="18"/>
      <c r="ODI129" s="18"/>
      <c r="ODJ129" s="18"/>
      <c r="ODK129" s="18"/>
      <c r="ODL129" s="18"/>
      <c r="ODM129" s="18"/>
      <c r="ODN129" s="18"/>
      <c r="ODO129" s="18"/>
      <c r="ODP129" s="18"/>
      <c r="ODQ129" s="18"/>
      <c r="ODR129" s="18"/>
      <c r="ODS129" s="18"/>
      <c r="ODT129" s="18"/>
      <c r="ODU129" s="18"/>
      <c r="ODV129" s="18"/>
      <c r="ODW129" s="18"/>
      <c r="ODX129" s="18"/>
      <c r="ODY129" s="18"/>
      <c r="ODZ129" s="18"/>
      <c r="OEA129" s="18"/>
      <c r="OEB129" s="18"/>
      <c r="OEC129" s="18"/>
      <c r="OED129" s="18"/>
      <c r="OEE129" s="18"/>
      <c r="OEF129" s="18"/>
      <c r="OEG129" s="18"/>
      <c r="OEH129" s="18"/>
      <c r="OEI129" s="18"/>
      <c r="OEJ129" s="18"/>
      <c r="OEK129" s="18"/>
      <c r="OEL129" s="18"/>
      <c r="OEM129" s="18"/>
      <c r="OEN129" s="18"/>
      <c r="OEO129" s="18"/>
      <c r="OEP129" s="18"/>
      <c r="OEQ129" s="18"/>
      <c r="OER129" s="18"/>
      <c r="OES129" s="18"/>
      <c r="OET129" s="18"/>
      <c r="OEU129" s="18"/>
      <c r="OEV129" s="18"/>
      <c r="OEW129" s="18"/>
      <c r="OEX129" s="18"/>
      <c r="OEY129" s="18"/>
      <c r="OEZ129" s="18"/>
      <c r="OFA129" s="18"/>
      <c r="OFB129" s="18"/>
      <c r="OFC129" s="18"/>
      <c r="OFD129" s="18"/>
      <c r="OFE129" s="18"/>
      <c r="OFF129" s="18"/>
      <c r="OFG129" s="18"/>
      <c r="OFH129" s="18"/>
      <c r="OFI129" s="18"/>
      <c r="OFJ129" s="18"/>
      <c r="OFK129" s="18"/>
      <c r="OFL129" s="18"/>
      <c r="OFM129" s="18"/>
      <c r="OFN129" s="18"/>
      <c r="OFO129" s="18"/>
      <c r="OFP129" s="18"/>
      <c r="OFQ129" s="18"/>
      <c r="OFR129" s="18"/>
      <c r="OFS129" s="18"/>
      <c r="OFT129" s="18"/>
      <c r="OFU129" s="18"/>
      <c r="OFV129" s="18"/>
      <c r="OFW129" s="18"/>
      <c r="OFX129" s="18"/>
      <c r="OFY129" s="18"/>
      <c r="OFZ129" s="18"/>
      <c r="OGA129" s="18"/>
      <c r="OGB129" s="18"/>
      <c r="OGC129" s="18"/>
      <c r="OGD129" s="18"/>
      <c r="OGE129" s="18"/>
      <c r="OGF129" s="18"/>
      <c r="OGG129" s="18"/>
      <c r="OGH129" s="18"/>
      <c r="OGI129" s="18"/>
      <c r="OGJ129" s="18"/>
      <c r="OGK129" s="18"/>
      <c r="OGL129" s="18"/>
      <c r="OGM129" s="18"/>
      <c r="OGN129" s="18"/>
      <c r="OGO129" s="18"/>
      <c r="OGP129" s="18"/>
      <c r="OGQ129" s="18"/>
      <c r="OGR129" s="18"/>
      <c r="OGS129" s="18"/>
      <c r="OGT129" s="18"/>
      <c r="OGU129" s="18"/>
      <c r="OGV129" s="18"/>
      <c r="OGW129" s="18"/>
      <c r="OGX129" s="18"/>
      <c r="OGY129" s="18"/>
      <c r="OGZ129" s="18"/>
      <c r="OHA129" s="18"/>
      <c r="OHB129" s="18"/>
      <c r="OHC129" s="18"/>
      <c r="OHD129" s="18"/>
      <c r="OHE129" s="18"/>
      <c r="OHF129" s="18"/>
      <c r="OHG129" s="18"/>
      <c r="OHH129" s="18"/>
      <c r="OHI129" s="18"/>
      <c r="OHJ129" s="18"/>
      <c r="OHK129" s="18"/>
      <c r="OHL129" s="18"/>
      <c r="OHM129" s="18"/>
      <c r="OHN129" s="18"/>
      <c r="OHO129" s="18"/>
      <c r="OHP129" s="18"/>
      <c r="OHQ129" s="18"/>
      <c r="OHR129" s="18"/>
      <c r="OHS129" s="18"/>
      <c r="OHT129" s="18"/>
      <c r="OHU129" s="18"/>
      <c r="OHV129" s="18"/>
      <c r="OHW129" s="18"/>
      <c r="OHX129" s="18"/>
      <c r="OHY129" s="18"/>
      <c r="OHZ129" s="18"/>
      <c r="OIA129" s="18"/>
      <c r="OIB129" s="18"/>
      <c r="OIC129" s="18"/>
      <c r="OID129" s="18"/>
      <c r="OIE129" s="18"/>
      <c r="OIF129" s="18"/>
      <c r="OIG129" s="18"/>
      <c r="OIH129" s="18"/>
      <c r="OII129" s="18"/>
      <c r="OIJ129" s="18"/>
      <c r="OIK129" s="18"/>
      <c r="OIL129" s="18"/>
      <c r="OIM129" s="18"/>
      <c r="OIN129" s="18"/>
      <c r="OIO129" s="18"/>
      <c r="OIP129" s="18"/>
      <c r="OIQ129" s="18"/>
      <c r="OIR129" s="18"/>
      <c r="OIS129" s="18"/>
      <c r="OIT129" s="18"/>
      <c r="OIU129" s="18"/>
      <c r="OIV129" s="18"/>
      <c r="OIW129" s="18"/>
      <c r="OIX129" s="18"/>
      <c r="OIY129" s="18"/>
      <c r="OIZ129" s="18"/>
      <c r="OJA129" s="18"/>
      <c r="OJB129" s="18"/>
      <c r="OJC129" s="18"/>
      <c r="OJD129" s="18"/>
      <c r="OJE129" s="18"/>
      <c r="OJF129" s="18"/>
      <c r="OJG129" s="18"/>
      <c r="OJH129" s="18"/>
      <c r="OJI129" s="18"/>
      <c r="OJJ129" s="18"/>
      <c r="OJK129" s="18"/>
      <c r="OJL129" s="18"/>
      <c r="OJM129" s="18"/>
      <c r="OJN129" s="18"/>
      <c r="OJO129" s="18"/>
      <c r="OJP129" s="18"/>
      <c r="OJQ129" s="18"/>
      <c r="OJR129" s="18"/>
      <c r="OJS129" s="18"/>
      <c r="OJT129" s="18"/>
      <c r="OJU129" s="18"/>
      <c r="OJV129" s="18"/>
      <c r="OJW129" s="18"/>
      <c r="OJX129" s="18"/>
      <c r="OJY129" s="18"/>
      <c r="OJZ129" s="18"/>
      <c r="OKA129" s="18"/>
      <c r="OKB129" s="18"/>
      <c r="OKC129" s="18"/>
      <c r="OKD129" s="18"/>
      <c r="OKE129" s="18"/>
      <c r="OKF129" s="18"/>
      <c r="OKG129" s="18"/>
      <c r="OKH129" s="18"/>
      <c r="OKI129" s="18"/>
      <c r="OKJ129" s="18"/>
      <c r="OKK129" s="18"/>
      <c r="OKL129" s="18"/>
      <c r="OKM129" s="18"/>
      <c r="OKN129" s="18"/>
      <c r="OKO129" s="18"/>
      <c r="OKP129" s="18"/>
      <c r="OKQ129" s="18"/>
      <c r="OKR129" s="18"/>
      <c r="OKS129" s="18"/>
      <c r="OKT129" s="18"/>
      <c r="OKU129" s="18"/>
      <c r="OKV129" s="18"/>
      <c r="OKW129" s="18"/>
      <c r="OKX129" s="18"/>
      <c r="OKY129" s="18"/>
      <c r="OKZ129" s="18"/>
      <c r="OLA129" s="18"/>
      <c r="OLB129" s="18"/>
      <c r="OLC129" s="18"/>
      <c r="OLD129" s="18"/>
      <c r="OLE129" s="18"/>
      <c r="OLF129" s="18"/>
      <c r="OLG129" s="18"/>
      <c r="OLH129" s="18"/>
      <c r="OLI129" s="18"/>
      <c r="OLJ129" s="18"/>
      <c r="OLK129" s="18"/>
      <c r="OLL129" s="18"/>
      <c r="OLM129" s="18"/>
      <c r="OLN129" s="18"/>
      <c r="OLO129" s="18"/>
      <c r="OLP129" s="18"/>
      <c r="OLQ129" s="18"/>
      <c r="OLR129" s="18"/>
      <c r="OLS129" s="18"/>
      <c r="OLT129" s="18"/>
      <c r="OLU129" s="18"/>
      <c r="OLV129" s="18"/>
      <c r="OLW129" s="18"/>
      <c r="OLX129" s="18"/>
      <c r="OLY129" s="18"/>
      <c r="OLZ129" s="18"/>
      <c r="OMA129" s="18"/>
      <c r="OMB129" s="18"/>
      <c r="OMC129" s="18"/>
      <c r="OMD129" s="18"/>
      <c r="OME129" s="18"/>
      <c r="OMF129" s="18"/>
      <c r="OMG129" s="18"/>
      <c r="OMH129" s="18"/>
      <c r="OMI129" s="18"/>
      <c r="OMJ129" s="18"/>
      <c r="OMK129" s="18"/>
      <c r="OML129" s="18"/>
      <c r="OMM129" s="18"/>
      <c r="OMN129" s="18"/>
      <c r="OMO129" s="18"/>
      <c r="OMP129" s="18"/>
      <c r="OMQ129" s="18"/>
      <c r="OMR129" s="18"/>
      <c r="OMS129" s="18"/>
      <c r="OMT129" s="18"/>
      <c r="OMU129" s="18"/>
      <c r="OMV129" s="18"/>
      <c r="OMW129" s="18"/>
      <c r="OMX129" s="18"/>
      <c r="OMY129" s="18"/>
      <c r="OMZ129" s="18"/>
      <c r="ONA129" s="18"/>
      <c r="ONB129" s="18"/>
      <c r="ONC129" s="18"/>
      <c r="OND129" s="18"/>
      <c r="ONE129" s="18"/>
      <c r="ONF129" s="18"/>
      <c r="ONG129" s="18"/>
      <c r="ONH129" s="18"/>
      <c r="ONI129" s="18"/>
      <c r="ONJ129" s="18"/>
      <c r="ONK129" s="18"/>
      <c r="ONL129" s="18"/>
      <c r="ONM129" s="18"/>
      <c r="ONN129" s="18"/>
      <c r="ONO129" s="18"/>
      <c r="ONP129" s="18"/>
      <c r="ONQ129" s="18"/>
      <c r="ONR129" s="18"/>
      <c r="ONS129" s="18"/>
      <c r="ONT129" s="18"/>
      <c r="ONU129" s="18"/>
      <c r="ONV129" s="18"/>
      <c r="ONW129" s="18"/>
      <c r="ONX129" s="18"/>
      <c r="ONY129" s="18"/>
      <c r="ONZ129" s="18"/>
      <c r="OOA129" s="18"/>
      <c r="OOB129" s="18"/>
      <c r="OOC129" s="18"/>
      <c r="OOD129" s="18"/>
      <c r="OOE129" s="18"/>
      <c r="OOF129" s="18"/>
      <c r="OOG129" s="18"/>
      <c r="OOH129" s="18"/>
      <c r="OOI129" s="18"/>
      <c r="OOJ129" s="18"/>
      <c r="OOK129" s="18"/>
      <c r="OOL129" s="18"/>
      <c r="OOM129" s="18"/>
      <c r="OON129" s="18"/>
      <c r="OOO129" s="18"/>
      <c r="OOP129" s="18"/>
      <c r="OOQ129" s="18"/>
      <c r="OOR129" s="18"/>
      <c r="OOS129" s="18"/>
      <c r="OOT129" s="18"/>
      <c r="OOU129" s="18"/>
      <c r="OOV129" s="18"/>
      <c r="OOW129" s="18"/>
      <c r="OOX129" s="18"/>
      <c r="OOY129" s="18"/>
      <c r="OOZ129" s="18"/>
      <c r="OPA129" s="18"/>
      <c r="OPB129" s="18"/>
      <c r="OPC129" s="18"/>
      <c r="OPD129" s="18"/>
      <c r="OPE129" s="18"/>
      <c r="OPF129" s="18"/>
      <c r="OPG129" s="18"/>
      <c r="OPH129" s="18"/>
      <c r="OPI129" s="18"/>
      <c r="OPJ129" s="18"/>
      <c r="OPK129" s="18"/>
      <c r="OPL129" s="18"/>
      <c r="OPM129" s="18"/>
      <c r="OPN129" s="18"/>
      <c r="OPO129" s="18"/>
      <c r="OPP129" s="18"/>
      <c r="OPQ129" s="18"/>
      <c r="OPR129" s="18"/>
      <c r="OPS129" s="18"/>
      <c r="OPT129" s="18"/>
      <c r="OPU129" s="18"/>
      <c r="OPV129" s="18"/>
      <c r="OPW129" s="18"/>
      <c r="OPX129" s="18"/>
      <c r="OPY129" s="18"/>
      <c r="OPZ129" s="18"/>
      <c r="OQA129" s="18"/>
      <c r="OQB129" s="18"/>
      <c r="OQC129" s="18"/>
      <c r="OQD129" s="18"/>
      <c r="OQE129" s="18"/>
      <c r="OQF129" s="18"/>
      <c r="OQG129" s="18"/>
      <c r="OQH129" s="18"/>
      <c r="OQI129" s="18"/>
      <c r="OQJ129" s="18"/>
      <c r="OQK129" s="18"/>
      <c r="OQL129" s="18"/>
      <c r="OQM129" s="18"/>
      <c r="OQN129" s="18"/>
      <c r="OQO129" s="18"/>
      <c r="OQP129" s="18"/>
      <c r="OQQ129" s="18"/>
      <c r="OQR129" s="18"/>
      <c r="OQS129" s="18"/>
      <c r="OQT129" s="18"/>
      <c r="OQU129" s="18"/>
      <c r="OQV129" s="18"/>
      <c r="OQW129" s="18"/>
      <c r="OQX129" s="18"/>
      <c r="OQY129" s="18"/>
      <c r="OQZ129" s="18"/>
      <c r="ORA129" s="18"/>
      <c r="ORB129" s="18"/>
      <c r="ORC129" s="18"/>
      <c r="ORD129" s="18"/>
      <c r="ORE129" s="18"/>
      <c r="ORF129" s="18"/>
      <c r="ORG129" s="18"/>
      <c r="ORH129" s="18"/>
      <c r="ORI129" s="18"/>
      <c r="ORJ129" s="18"/>
      <c r="ORK129" s="18"/>
      <c r="ORL129" s="18"/>
      <c r="ORM129" s="18"/>
      <c r="ORN129" s="18"/>
      <c r="ORO129" s="18"/>
      <c r="ORP129" s="18"/>
      <c r="ORQ129" s="18"/>
      <c r="ORR129" s="18"/>
      <c r="ORS129" s="18"/>
      <c r="ORT129" s="18"/>
      <c r="ORU129" s="18"/>
      <c r="ORV129" s="18"/>
      <c r="ORW129" s="18"/>
      <c r="ORX129" s="18"/>
      <c r="ORY129" s="18"/>
      <c r="ORZ129" s="18"/>
      <c r="OSA129" s="18"/>
      <c r="OSB129" s="18"/>
      <c r="OSC129" s="18"/>
      <c r="OSD129" s="18"/>
      <c r="OSE129" s="18"/>
      <c r="OSF129" s="18"/>
      <c r="OSG129" s="18"/>
      <c r="OSH129" s="18"/>
      <c r="OSI129" s="18"/>
      <c r="OSJ129" s="18"/>
      <c r="OSK129" s="18"/>
      <c r="OSL129" s="18"/>
      <c r="OSM129" s="18"/>
      <c r="OSN129" s="18"/>
      <c r="OSO129" s="18"/>
      <c r="OSP129" s="18"/>
      <c r="OSQ129" s="18"/>
      <c r="OSR129" s="18"/>
      <c r="OSS129" s="18"/>
      <c r="OST129" s="18"/>
      <c r="OSU129" s="18"/>
      <c r="OSV129" s="18"/>
      <c r="OSW129" s="18"/>
      <c r="OSX129" s="18"/>
      <c r="OSY129" s="18"/>
      <c r="OSZ129" s="18"/>
      <c r="OTA129" s="18"/>
      <c r="OTB129" s="18"/>
      <c r="OTC129" s="18"/>
      <c r="OTD129" s="18"/>
      <c r="OTE129" s="18"/>
      <c r="OTF129" s="18"/>
      <c r="OTG129" s="18"/>
      <c r="OTH129" s="18"/>
      <c r="OTI129" s="18"/>
      <c r="OTJ129" s="18"/>
      <c r="OTK129" s="18"/>
      <c r="OTL129" s="18"/>
      <c r="OTM129" s="18"/>
      <c r="OTN129" s="18"/>
      <c r="OTO129" s="18"/>
      <c r="OTP129" s="18"/>
      <c r="OTQ129" s="18"/>
      <c r="OTR129" s="18"/>
      <c r="OTS129" s="18"/>
      <c r="OTT129" s="18"/>
      <c r="OTU129" s="18"/>
      <c r="OTV129" s="18"/>
      <c r="OTW129" s="18"/>
      <c r="OTX129" s="18"/>
      <c r="OTY129" s="18"/>
      <c r="OTZ129" s="18"/>
      <c r="OUA129" s="18"/>
      <c r="OUB129" s="18"/>
      <c r="OUC129" s="18"/>
      <c r="OUD129" s="18"/>
      <c r="OUE129" s="18"/>
      <c r="OUF129" s="18"/>
      <c r="OUG129" s="18"/>
      <c r="OUH129" s="18"/>
      <c r="OUI129" s="18"/>
      <c r="OUJ129" s="18"/>
      <c r="OUK129" s="18"/>
      <c r="OUL129" s="18"/>
      <c r="OUM129" s="18"/>
      <c r="OUN129" s="18"/>
      <c r="OUO129" s="18"/>
      <c r="OUP129" s="18"/>
      <c r="OUQ129" s="18"/>
      <c r="OUR129" s="18"/>
      <c r="OUS129" s="18"/>
      <c r="OUT129" s="18"/>
      <c r="OUU129" s="18"/>
      <c r="OUV129" s="18"/>
      <c r="OUW129" s="18"/>
      <c r="OUX129" s="18"/>
      <c r="OUY129" s="18"/>
      <c r="OUZ129" s="18"/>
      <c r="OVA129" s="18"/>
      <c r="OVB129" s="18"/>
      <c r="OVC129" s="18"/>
      <c r="OVD129" s="18"/>
      <c r="OVE129" s="18"/>
      <c r="OVF129" s="18"/>
      <c r="OVG129" s="18"/>
      <c r="OVH129" s="18"/>
      <c r="OVI129" s="18"/>
      <c r="OVJ129" s="18"/>
      <c r="OVK129" s="18"/>
      <c r="OVL129" s="18"/>
      <c r="OVM129" s="18"/>
      <c r="OVN129" s="18"/>
      <c r="OVO129" s="18"/>
      <c r="OVP129" s="18"/>
      <c r="OVQ129" s="18"/>
      <c r="OVR129" s="18"/>
      <c r="OVS129" s="18"/>
      <c r="OVT129" s="18"/>
      <c r="OVU129" s="18"/>
      <c r="OVV129" s="18"/>
      <c r="OVW129" s="18"/>
      <c r="OVX129" s="18"/>
      <c r="OVY129" s="18"/>
      <c r="OVZ129" s="18"/>
      <c r="OWA129" s="18"/>
      <c r="OWB129" s="18"/>
      <c r="OWC129" s="18"/>
      <c r="OWD129" s="18"/>
      <c r="OWE129" s="18"/>
      <c r="OWF129" s="18"/>
      <c r="OWG129" s="18"/>
      <c r="OWH129" s="18"/>
      <c r="OWI129" s="18"/>
      <c r="OWJ129" s="18"/>
      <c r="OWK129" s="18"/>
      <c r="OWL129" s="18"/>
      <c r="OWM129" s="18"/>
      <c r="OWN129" s="18"/>
      <c r="OWO129" s="18"/>
      <c r="OWP129" s="18"/>
      <c r="OWQ129" s="18"/>
      <c r="OWR129" s="18"/>
      <c r="OWS129" s="18"/>
      <c r="OWT129" s="18"/>
      <c r="OWU129" s="18"/>
      <c r="OWV129" s="18"/>
      <c r="OWW129" s="18"/>
      <c r="OWX129" s="18"/>
      <c r="OWY129" s="18"/>
      <c r="OWZ129" s="18"/>
      <c r="OXA129" s="18"/>
      <c r="OXB129" s="18"/>
      <c r="OXC129" s="18"/>
      <c r="OXD129" s="18"/>
      <c r="OXE129" s="18"/>
      <c r="OXF129" s="18"/>
      <c r="OXG129" s="18"/>
      <c r="OXH129" s="18"/>
      <c r="OXI129" s="18"/>
      <c r="OXJ129" s="18"/>
      <c r="OXK129" s="18"/>
      <c r="OXL129" s="18"/>
      <c r="OXM129" s="18"/>
      <c r="OXN129" s="18"/>
      <c r="OXO129" s="18"/>
      <c r="OXP129" s="18"/>
      <c r="OXQ129" s="18"/>
      <c r="OXR129" s="18"/>
      <c r="OXS129" s="18"/>
      <c r="OXT129" s="18"/>
      <c r="OXU129" s="18"/>
      <c r="OXV129" s="18"/>
      <c r="OXW129" s="18"/>
      <c r="OXX129" s="18"/>
      <c r="OXY129" s="18"/>
      <c r="OXZ129" s="18"/>
      <c r="OYA129" s="18"/>
      <c r="OYB129" s="18"/>
      <c r="OYC129" s="18"/>
      <c r="OYD129" s="18"/>
      <c r="OYE129" s="18"/>
      <c r="OYF129" s="18"/>
      <c r="OYG129" s="18"/>
      <c r="OYH129" s="18"/>
      <c r="OYI129" s="18"/>
      <c r="OYJ129" s="18"/>
      <c r="OYK129" s="18"/>
      <c r="OYL129" s="18"/>
      <c r="OYM129" s="18"/>
      <c r="OYN129" s="18"/>
      <c r="OYO129" s="18"/>
      <c r="OYP129" s="18"/>
      <c r="OYQ129" s="18"/>
      <c r="OYR129" s="18"/>
      <c r="OYS129" s="18"/>
      <c r="OYT129" s="18"/>
      <c r="OYU129" s="18"/>
      <c r="OYV129" s="18"/>
      <c r="OYW129" s="18"/>
      <c r="OYX129" s="18"/>
      <c r="OYY129" s="18"/>
      <c r="OYZ129" s="18"/>
      <c r="OZA129" s="18"/>
      <c r="OZB129" s="18"/>
      <c r="OZC129" s="18"/>
      <c r="OZD129" s="18"/>
      <c r="OZE129" s="18"/>
      <c r="OZF129" s="18"/>
      <c r="OZG129" s="18"/>
      <c r="OZH129" s="18"/>
      <c r="OZI129" s="18"/>
      <c r="OZJ129" s="18"/>
      <c r="OZK129" s="18"/>
      <c r="OZL129" s="18"/>
      <c r="OZM129" s="18"/>
      <c r="OZN129" s="18"/>
      <c r="OZO129" s="18"/>
      <c r="OZP129" s="18"/>
      <c r="OZQ129" s="18"/>
      <c r="OZR129" s="18"/>
      <c r="OZS129" s="18"/>
      <c r="OZT129" s="18"/>
      <c r="OZU129" s="18"/>
      <c r="OZV129" s="18"/>
      <c r="OZW129" s="18"/>
      <c r="OZX129" s="18"/>
      <c r="OZY129" s="18"/>
      <c r="OZZ129" s="18"/>
      <c r="PAA129" s="18"/>
      <c r="PAB129" s="18"/>
      <c r="PAC129" s="18"/>
      <c r="PAD129" s="18"/>
      <c r="PAE129" s="18"/>
      <c r="PAF129" s="18"/>
      <c r="PAG129" s="18"/>
      <c r="PAH129" s="18"/>
      <c r="PAI129" s="18"/>
      <c r="PAJ129" s="18"/>
      <c r="PAK129" s="18"/>
      <c r="PAL129" s="18"/>
      <c r="PAM129" s="18"/>
      <c r="PAN129" s="18"/>
      <c r="PAO129" s="18"/>
      <c r="PAP129" s="18"/>
      <c r="PAQ129" s="18"/>
      <c r="PAR129" s="18"/>
      <c r="PAS129" s="18"/>
      <c r="PAT129" s="18"/>
      <c r="PAU129" s="18"/>
      <c r="PAV129" s="18"/>
      <c r="PAW129" s="18"/>
      <c r="PAX129" s="18"/>
      <c r="PAY129" s="18"/>
      <c r="PAZ129" s="18"/>
      <c r="PBA129" s="18"/>
      <c r="PBB129" s="18"/>
      <c r="PBC129" s="18"/>
      <c r="PBD129" s="18"/>
      <c r="PBE129" s="18"/>
      <c r="PBF129" s="18"/>
      <c r="PBG129" s="18"/>
      <c r="PBH129" s="18"/>
      <c r="PBI129" s="18"/>
      <c r="PBJ129" s="18"/>
      <c r="PBK129" s="18"/>
      <c r="PBL129" s="18"/>
      <c r="PBM129" s="18"/>
      <c r="PBN129" s="18"/>
      <c r="PBO129" s="18"/>
      <c r="PBP129" s="18"/>
      <c r="PBQ129" s="18"/>
      <c r="PBR129" s="18"/>
      <c r="PBS129" s="18"/>
      <c r="PBT129" s="18"/>
      <c r="PBU129" s="18"/>
      <c r="PBV129" s="18"/>
      <c r="PBW129" s="18"/>
      <c r="PBX129" s="18"/>
      <c r="PBY129" s="18"/>
      <c r="PBZ129" s="18"/>
      <c r="PCA129" s="18"/>
      <c r="PCB129" s="18"/>
      <c r="PCC129" s="18"/>
      <c r="PCD129" s="18"/>
      <c r="PCE129" s="18"/>
      <c r="PCF129" s="18"/>
      <c r="PCG129" s="18"/>
      <c r="PCH129" s="18"/>
      <c r="PCI129" s="18"/>
      <c r="PCJ129" s="18"/>
      <c r="PCK129" s="18"/>
      <c r="PCL129" s="18"/>
      <c r="PCM129" s="18"/>
      <c r="PCN129" s="18"/>
      <c r="PCO129" s="18"/>
      <c r="PCP129" s="18"/>
      <c r="PCQ129" s="18"/>
      <c r="PCR129" s="18"/>
      <c r="PCS129" s="18"/>
      <c r="PCT129" s="18"/>
      <c r="PCU129" s="18"/>
      <c r="PCV129" s="18"/>
      <c r="PCW129" s="18"/>
      <c r="PCX129" s="18"/>
      <c r="PCY129" s="18"/>
      <c r="PCZ129" s="18"/>
      <c r="PDA129" s="18"/>
      <c r="PDB129" s="18"/>
      <c r="PDC129" s="18"/>
      <c r="PDD129" s="18"/>
      <c r="PDE129" s="18"/>
      <c r="PDF129" s="18"/>
      <c r="PDG129" s="18"/>
      <c r="PDH129" s="18"/>
      <c r="PDI129" s="18"/>
      <c r="PDJ129" s="18"/>
      <c r="PDK129" s="18"/>
      <c r="PDL129" s="18"/>
      <c r="PDM129" s="18"/>
      <c r="PDN129" s="18"/>
      <c r="PDO129" s="18"/>
      <c r="PDP129" s="18"/>
      <c r="PDQ129" s="18"/>
      <c r="PDR129" s="18"/>
      <c r="PDS129" s="18"/>
      <c r="PDT129" s="18"/>
      <c r="PDU129" s="18"/>
      <c r="PDV129" s="18"/>
      <c r="PDW129" s="18"/>
      <c r="PDX129" s="18"/>
      <c r="PDY129" s="18"/>
      <c r="PDZ129" s="18"/>
      <c r="PEA129" s="18"/>
      <c r="PEB129" s="18"/>
      <c r="PEC129" s="18"/>
      <c r="PED129" s="18"/>
      <c r="PEE129" s="18"/>
      <c r="PEF129" s="18"/>
      <c r="PEG129" s="18"/>
      <c r="PEH129" s="18"/>
      <c r="PEI129" s="18"/>
      <c r="PEJ129" s="18"/>
      <c r="PEK129" s="18"/>
      <c r="PEL129" s="18"/>
      <c r="PEM129" s="18"/>
      <c r="PEN129" s="18"/>
      <c r="PEO129" s="18"/>
      <c r="PEP129" s="18"/>
      <c r="PEQ129" s="18"/>
      <c r="PER129" s="18"/>
      <c r="PES129" s="18"/>
      <c r="PET129" s="18"/>
      <c r="PEU129" s="18"/>
      <c r="PEV129" s="18"/>
      <c r="PEW129" s="18"/>
      <c r="PEX129" s="18"/>
      <c r="PEY129" s="18"/>
      <c r="PEZ129" s="18"/>
      <c r="PFA129" s="18"/>
      <c r="PFB129" s="18"/>
      <c r="PFC129" s="18"/>
      <c r="PFD129" s="18"/>
      <c r="PFE129" s="18"/>
      <c r="PFF129" s="18"/>
      <c r="PFG129" s="18"/>
      <c r="PFH129" s="18"/>
      <c r="PFI129" s="18"/>
      <c r="PFJ129" s="18"/>
      <c r="PFK129" s="18"/>
      <c r="PFL129" s="18"/>
      <c r="PFM129" s="18"/>
      <c r="PFN129" s="18"/>
      <c r="PFO129" s="18"/>
      <c r="PFP129" s="18"/>
      <c r="PFQ129" s="18"/>
      <c r="PFR129" s="18"/>
      <c r="PFS129" s="18"/>
      <c r="PFT129" s="18"/>
      <c r="PFU129" s="18"/>
      <c r="PFV129" s="18"/>
      <c r="PFW129" s="18"/>
      <c r="PFX129" s="18"/>
      <c r="PFY129" s="18"/>
      <c r="PFZ129" s="18"/>
      <c r="PGA129" s="18"/>
      <c r="PGB129" s="18"/>
      <c r="PGC129" s="18"/>
      <c r="PGD129" s="18"/>
      <c r="PGE129" s="18"/>
      <c r="PGF129" s="18"/>
      <c r="PGG129" s="18"/>
      <c r="PGH129" s="18"/>
      <c r="PGI129" s="18"/>
      <c r="PGJ129" s="18"/>
      <c r="PGK129" s="18"/>
      <c r="PGL129" s="18"/>
      <c r="PGM129" s="18"/>
      <c r="PGN129" s="18"/>
      <c r="PGO129" s="18"/>
      <c r="PGP129" s="18"/>
      <c r="PGQ129" s="18"/>
      <c r="PGR129" s="18"/>
      <c r="PGS129" s="18"/>
      <c r="PGT129" s="18"/>
      <c r="PGU129" s="18"/>
      <c r="PGV129" s="18"/>
      <c r="PGW129" s="18"/>
      <c r="PGX129" s="18"/>
      <c r="PGY129" s="18"/>
      <c r="PGZ129" s="18"/>
      <c r="PHA129" s="18"/>
      <c r="PHB129" s="18"/>
      <c r="PHC129" s="18"/>
      <c r="PHD129" s="18"/>
      <c r="PHE129" s="18"/>
      <c r="PHF129" s="18"/>
      <c r="PHG129" s="18"/>
      <c r="PHH129" s="18"/>
      <c r="PHI129" s="18"/>
      <c r="PHJ129" s="18"/>
      <c r="PHK129" s="18"/>
      <c r="PHL129" s="18"/>
      <c r="PHM129" s="18"/>
      <c r="PHN129" s="18"/>
      <c r="PHO129" s="18"/>
      <c r="PHP129" s="18"/>
      <c r="PHQ129" s="18"/>
      <c r="PHR129" s="18"/>
      <c r="PHS129" s="18"/>
      <c r="PHT129" s="18"/>
      <c r="PHU129" s="18"/>
      <c r="PHV129" s="18"/>
      <c r="PHW129" s="18"/>
      <c r="PHX129" s="18"/>
      <c r="PHY129" s="18"/>
      <c r="PHZ129" s="18"/>
      <c r="PIA129" s="18"/>
      <c r="PIB129" s="18"/>
      <c r="PIC129" s="18"/>
      <c r="PID129" s="18"/>
      <c r="PIE129" s="18"/>
      <c r="PIF129" s="18"/>
      <c r="PIG129" s="18"/>
      <c r="PIH129" s="18"/>
      <c r="PII129" s="18"/>
      <c r="PIJ129" s="18"/>
      <c r="PIK129" s="18"/>
      <c r="PIL129" s="18"/>
      <c r="PIM129" s="18"/>
      <c r="PIN129" s="18"/>
      <c r="PIO129" s="18"/>
      <c r="PIP129" s="18"/>
      <c r="PIQ129" s="18"/>
      <c r="PIR129" s="18"/>
      <c r="PIS129" s="18"/>
      <c r="PIT129" s="18"/>
      <c r="PIU129" s="18"/>
      <c r="PIV129" s="18"/>
      <c r="PIW129" s="18"/>
      <c r="PIX129" s="18"/>
      <c r="PIY129" s="18"/>
      <c r="PIZ129" s="18"/>
      <c r="PJA129" s="18"/>
      <c r="PJB129" s="18"/>
      <c r="PJC129" s="18"/>
      <c r="PJD129" s="18"/>
      <c r="PJE129" s="18"/>
      <c r="PJF129" s="18"/>
      <c r="PJG129" s="18"/>
      <c r="PJH129" s="18"/>
      <c r="PJI129" s="18"/>
      <c r="PJJ129" s="18"/>
      <c r="PJK129" s="18"/>
      <c r="PJL129" s="18"/>
      <c r="PJM129" s="18"/>
      <c r="PJN129" s="18"/>
      <c r="PJO129" s="18"/>
      <c r="PJP129" s="18"/>
      <c r="PJQ129" s="18"/>
      <c r="PJR129" s="18"/>
      <c r="PJS129" s="18"/>
      <c r="PJT129" s="18"/>
      <c r="PJU129" s="18"/>
      <c r="PJV129" s="18"/>
      <c r="PJW129" s="18"/>
      <c r="PJX129" s="18"/>
      <c r="PJY129" s="18"/>
      <c r="PJZ129" s="18"/>
      <c r="PKA129" s="18"/>
      <c r="PKB129" s="18"/>
      <c r="PKC129" s="18"/>
      <c r="PKD129" s="18"/>
      <c r="PKE129" s="18"/>
      <c r="PKF129" s="18"/>
      <c r="PKG129" s="18"/>
      <c r="PKH129" s="18"/>
      <c r="PKI129" s="18"/>
      <c r="PKJ129" s="18"/>
      <c r="PKK129" s="18"/>
      <c r="PKL129" s="18"/>
      <c r="PKM129" s="18"/>
      <c r="PKN129" s="18"/>
      <c r="PKO129" s="18"/>
      <c r="PKP129" s="18"/>
      <c r="PKQ129" s="18"/>
      <c r="PKR129" s="18"/>
      <c r="PKS129" s="18"/>
      <c r="PKT129" s="18"/>
      <c r="PKU129" s="18"/>
      <c r="PKV129" s="18"/>
      <c r="PKW129" s="18"/>
      <c r="PKX129" s="18"/>
      <c r="PKY129" s="18"/>
      <c r="PKZ129" s="18"/>
      <c r="PLA129" s="18"/>
      <c r="PLB129" s="18"/>
      <c r="PLC129" s="18"/>
      <c r="PLD129" s="18"/>
      <c r="PLE129" s="18"/>
      <c r="PLF129" s="18"/>
      <c r="PLG129" s="18"/>
      <c r="PLH129" s="18"/>
      <c r="PLI129" s="18"/>
      <c r="PLJ129" s="18"/>
      <c r="PLK129" s="18"/>
      <c r="PLL129" s="18"/>
      <c r="PLM129" s="18"/>
      <c r="PLN129" s="18"/>
      <c r="PLO129" s="18"/>
      <c r="PLP129" s="18"/>
      <c r="PLQ129" s="18"/>
      <c r="PLR129" s="18"/>
      <c r="PLS129" s="18"/>
      <c r="PLT129" s="18"/>
      <c r="PLU129" s="18"/>
      <c r="PLV129" s="18"/>
      <c r="PLW129" s="18"/>
      <c r="PLX129" s="18"/>
      <c r="PLY129" s="18"/>
      <c r="PLZ129" s="18"/>
      <c r="PMA129" s="18"/>
      <c r="PMB129" s="18"/>
      <c r="PMC129" s="18"/>
      <c r="PMD129" s="18"/>
      <c r="PME129" s="18"/>
      <c r="PMF129" s="18"/>
      <c r="PMG129" s="18"/>
      <c r="PMH129" s="18"/>
      <c r="PMI129" s="18"/>
      <c r="PMJ129" s="18"/>
      <c r="PMK129" s="18"/>
      <c r="PML129" s="18"/>
      <c r="PMM129" s="18"/>
      <c r="PMN129" s="18"/>
      <c r="PMO129" s="18"/>
      <c r="PMP129" s="18"/>
      <c r="PMQ129" s="18"/>
      <c r="PMR129" s="18"/>
      <c r="PMS129" s="18"/>
      <c r="PMT129" s="18"/>
      <c r="PMU129" s="18"/>
      <c r="PMV129" s="18"/>
      <c r="PMW129" s="18"/>
      <c r="PMX129" s="18"/>
      <c r="PMY129" s="18"/>
      <c r="PMZ129" s="18"/>
      <c r="PNA129" s="18"/>
      <c r="PNB129" s="18"/>
      <c r="PNC129" s="18"/>
      <c r="PND129" s="18"/>
      <c r="PNE129" s="18"/>
      <c r="PNF129" s="18"/>
      <c r="PNG129" s="18"/>
      <c r="PNH129" s="18"/>
      <c r="PNI129" s="18"/>
      <c r="PNJ129" s="18"/>
      <c r="PNK129" s="18"/>
      <c r="PNL129" s="18"/>
      <c r="PNM129" s="18"/>
      <c r="PNN129" s="18"/>
      <c r="PNO129" s="18"/>
      <c r="PNP129" s="18"/>
      <c r="PNQ129" s="18"/>
      <c r="PNR129" s="18"/>
      <c r="PNS129" s="18"/>
      <c r="PNT129" s="18"/>
      <c r="PNU129" s="18"/>
      <c r="PNV129" s="18"/>
      <c r="PNW129" s="18"/>
      <c r="PNX129" s="18"/>
      <c r="PNY129" s="18"/>
      <c r="PNZ129" s="18"/>
      <c r="POA129" s="18"/>
      <c r="POB129" s="18"/>
      <c r="POC129" s="18"/>
      <c r="POD129" s="18"/>
      <c r="POE129" s="18"/>
      <c r="POF129" s="18"/>
      <c r="POG129" s="18"/>
      <c r="POH129" s="18"/>
      <c r="POI129" s="18"/>
      <c r="POJ129" s="18"/>
      <c r="POK129" s="18"/>
      <c r="POL129" s="18"/>
      <c r="POM129" s="18"/>
      <c r="PON129" s="18"/>
      <c r="POO129" s="18"/>
      <c r="POP129" s="18"/>
      <c r="POQ129" s="18"/>
      <c r="POR129" s="18"/>
      <c r="POS129" s="18"/>
      <c r="POT129" s="18"/>
      <c r="POU129" s="18"/>
      <c r="POV129" s="18"/>
      <c r="POW129" s="18"/>
      <c r="POX129" s="18"/>
      <c r="POY129" s="18"/>
      <c r="POZ129" s="18"/>
      <c r="PPA129" s="18"/>
      <c r="PPB129" s="18"/>
      <c r="PPC129" s="18"/>
      <c r="PPD129" s="18"/>
      <c r="PPE129" s="18"/>
      <c r="PPF129" s="18"/>
      <c r="PPG129" s="18"/>
      <c r="PPH129" s="18"/>
      <c r="PPI129" s="18"/>
      <c r="PPJ129" s="18"/>
      <c r="PPK129" s="18"/>
      <c r="PPL129" s="18"/>
      <c r="PPM129" s="18"/>
      <c r="PPN129" s="18"/>
      <c r="PPO129" s="18"/>
      <c r="PPP129" s="18"/>
      <c r="PPQ129" s="18"/>
      <c r="PPR129" s="18"/>
      <c r="PPS129" s="18"/>
      <c r="PPT129" s="18"/>
      <c r="PPU129" s="18"/>
      <c r="PPV129" s="18"/>
      <c r="PPW129" s="18"/>
      <c r="PPX129" s="18"/>
      <c r="PPY129" s="18"/>
      <c r="PPZ129" s="18"/>
      <c r="PQA129" s="18"/>
      <c r="PQB129" s="18"/>
      <c r="PQC129" s="18"/>
      <c r="PQD129" s="18"/>
      <c r="PQE129" s="18"/>
      <c r="PQF129" s="18"/>
      <c r="PQG129" s="18"/>
      <c r="PQH129" s="18"/>
      <c r="PQI129" s="18"/>
      <c r="PQJ129" s="18"/>
      <c r="PQK129" s="18"/>
      <c r="PQL129" s="18"/>
      <c r="PQM129" s="18"/>
      <c r="PQN129" s="18"/>
      <c r="PQO129" s="18"/>
      <c r="PQP129" s="18"/>
      <c r="PQQ129" s="18"/>
      <c r="PQR129" s="18"/>
      <c r="PQS129" s="18"/>
      <c r="PQT129" s="18"/>
      <c r="PQU129" s="18"/>
      <c r="PQV129" s="18"/>
      <c r="PQW129" s="18"/>
      <c r="PQX129" s="18"/>
      <c r="PQY129" s="18"/>
      <c r="PQZ129" s="18"/>
      <c r="PRA129" s="18"/>
      <c r="PRB129" s="18"/>
      <c r="PRC129" s="18"/>
      <c r="PRD129" s="18"/>
      <c r="PRE129" s="18"/>
      <c r="PRF129" s="18"/>
      <c r="PRG129" s="18"/>
      <c r="PRH129" s="18"/>
      <c r="PRI129" s="18"/>
      <c r="PRJ129" s="18"/>
      <c r="PRK129" s="18"/>
      <c r="PRL129" s="18"/>
      <c r="PRM129" s="18"/>
      <c r="PRN129" s="18"/>
      <c r="PRO129" s="18"/>
      <c r="PRP129" s="18"/>
      <c r="PRQ129" s="18"/>
      <c r="PRR129" s="18"/>
      <c r="PRS129" s="18"/>
      <c r="PRT129" s="18"/>
      <c r="PRU129" s="18"/>
      <c r="PRV129" s="18"/>
      <c r="PRW129" s="18"/>
      <c r="PRX129" s="18"/>
      <c r="PRY129" s="18"/>
      <c r="PRZ129" s="18"/>
      <c r="PSA129" s="18"/>
      <c r="PSB129" s="18"/>
      <c r="PSC129" s="18"/>
      <c r="PSD129" s="18"/>
      <c r="PSE129" s="18"/>
      <c r="PSF129" s="18"/>
      <c r="PSG129" s="18"/>
      <c r="PSH129" s="18"/>
      <c r="PSI129" s="18"/>
      <c r="PSJ129" s="18"/>
      <c r="PSK129" s="18"/>
      <c r="PSL129" s="18"/>
      <c r="PSM129" s="18"/>
      <c r="PSN129" s="18"/>
      <c r="PSO129" s="18"/>
      <c r="PSP129" s="18"/>
      <c r="PSQ129" s="18"/>
      <c r="PSR129" s="18"/>
      <c r="PSS129" s="18"/>
      <c r="PST129" s="18"/>
      <c r="PSU129" s="18"/>
      <c r="PSV129" s="18"/>
      <c r="PSW129" s="18"/>
      <c r="PSX129" s="18"/>
      <c r="PSY129" s="18"/>
      <c r="PSZ129" s="18"/>
      <c r="PTA129" s="18"/>
      <c r="PTB129" s="18"/>
      <c r="PTC129" s="18"/>
      <c r="PTD129" s="18"/>
      <c r="PTE129" s="18"/>
      <c r="PTF129" s="18"/>
      <c r="PTG129" s="18"/>
      <c r="PTH129" s="18"/>
      <c r="PTI129" s="18"/>
      <c r="PTJ129" s="18"/>
      <c r="PTK129" s="18"/>
      <c r="PTL129" s="18"/>
      <c r="PTM129" s="18"/>
      <c r="PTN129" s="18"/>
      <c r="PTO129" s="18"/>
      <c r="PTP129" s="18"/>
      <c r="PTQ129" s="18"/>
      <c r="PTR129" s="18"/>
      <c r="PTS129" s="18"/>
      <c r="PTT129" s="18"/>
      <c r="PTU129" s="18"/>
      <c r="PTV129" s="18"/>
      <c r="PTW129" s="18"/>
      <c r="PTX129" s="18"/>
      <c r="PTY129" s="18"/>
      <c r="PTZ129" s="18"/>
      <c r="PUA129" s="18"/>
      <c r="PUB129" s="18"/>
      <c r="PUC129" s="18"/>
      <c r="PUD129" s="18"/>
      <c r="PUE129" s="18"/>
      <c r="PUF129" s="18"/>
      <c r="PUG129" s="18"/>
      <c r="PUH129" s="18"/>
      <c r="PUI129" s="18"/>
      <c r="PUJ129" s="18"/>
      <c r="PUK129" s="18"/>
      <c r="PUL129" s="18"/>
      <c r="PUM129" s="18"/>
      <c r="PUN129" s="18"/>
      <c r="PUO129" s="18"/>
      <c r="PUP129" s="18"/>
      <c r="PUQ129" s="18"/>
      <c r="PUR129" s="18"/>
      <c r="PUS129" s="18"/>
      <c r="PUT129" s="18"/>
      <c r="PUU129" s="18"/>
      <c r="PUV129" s="18"/>
      <c r="PUW129" s="18"/>
      <c r="PUX129" s="18"/>
      <c r="PUY129" s="18"/>
      <c r="PUZ129" s="18"/>
      <c r="PVA129" s="18"/>
      <c r="PVB129" s="18"/>
      <c r="PVC129" s="18"/>
      <c r="PVD129" s="18"/>
      <c r="PVE129" s="18"/>
      <c r="PVF129" s="18"/>
      <c r="PVG129" s="18"/>
      <c r="PVH129" s="18"/>
      <c r="PVI129" s="18"/>
      <c r="PVJ129" s="18"/>
      <c r="PVK129" s="18"/>
      <c r="PVL129" s="18"/>
      <c r="PVM129" s="18"/>
      <c r="PVN129" s="18"/>
      <c r="PVO129" s="18"/>
      <c r="PVP129" s="18"/>
      <c r="PVQ129" s="18"/>
      <c r="PVR129" s="18"/>
      <c r="PVS129" s="18"/>
      <c r="PVT129" s="18"/>
      <c r="PVU129" s="18"/>
      <c r="PVV129" s="18"/>
      <c r="PVW129" s="18"/>
      <c r="PVX129" s="18"/>
      <c r="PVY129" s="18"/>
      <c r="PVZ129" s="18"/>
      <c r="PWA129" s="18"/>
      <c r="PWB129" s="18"/>
      <c r="PWC129" s="18"/>
      <c r="PWD129" s="18"/>
      <c r="PWE129" s="18"/>
      <c r="PWF129" s="18"/>
      <c r="PWG129" s="18"/>
      <c r="PWH129" s="18"/>
      <c r="PWI129" s="18"/>
      <c r="PWJ129" s="18"/>
      <c r="PWK129" s="18"/>
      <c r="PWL129" s="18"/>
      <c r="PWM129" s="18"/>
      <c r="PWN129" s="18"/>
      <c r="PWO129" s="18"/>
      <c r="PWP129" s="18"/>
      <c r="PWQ129" s="18"/>
      <c r="PWR129" s="18"/>
      <c r="PWS129" s="18"/>
      <c r="PWT129" s="18"/>
      <c r="PWU129" s="18"/>
      <c r="PWV129" s="18"/>
      <c r="PWW129" s="18"/>
      <c r="PWX129" s="18"/>
      <c r="PWY129" s="18"/>
      <c r="PWZ129" s="18"/>
      <c r="PXA129" s="18"/>
      <c r="PXB129" s="18"/>
      <c r="PXC129" s="18"/>
      <c r="PXD129" s="18"/>
      <c r="PXE129" s="18"/>
      <c r="PXF129" s="18"/>
      <c r="PXG129" s="18"/>
      <c r="PXH129" s="18"/>
      <c r="PXI129" s="18"/>
      <c r="PXJ129" s="18"/>
      <c r="PXK129" s="18"/>
      <c r="PXL129" s="18"/>
      <c r="PXM129" s="18"/>
      <c r="PXN129" s="18"/>
      <c r="PXO129" s="18"/>
      <c r="PXP129" s="18"/>
      <c r="PXQ129" s="18"/>
      <c r="PXR129" s="18"/>
      <c r="PXS129" s="18"/>
      <c r="PXT129" s="18"/>
      <c r="PXU129" s="18"/>
      <c r="PXV129" s="18"/>
      <c r="PXW129" s="18"/>
      <c r="PXX129" s="18"/>
      <c r="PXY129" s="18"/>
      <c r="PXZ129" s="18"/>
      <c r="PYA129" s="18"/>
      <c r="PYB129" s="18"/>
      <c r="PYC129" s="18"/>
      <c r="PYD129" s="18"/>
      <c r="PYE129" s="18"/>
      <c r="PYF129" s="18"/>
      <c r="PYG129" s="18"/>
      <c r="PYH129" s="18"/>
      <c r="PYI129" s="18"/>
      <c r="PYJ129" s="18"/>
      <c r="PYK129" s="18"/>
      <c r="PYL129" s="18"/>
      <c r="PYM129" s="18"/>
      <c r="PYN129" s="18"/>
      <c r="PYO129" s="18"/>
      <c r="PYP129" s="18"/>
      <c r="PYQ129" s="18"/>
      <c r="PYR129" s="18"/>
      <c r="PYS129" s="18"/>
      <c r="PYT129" s="18"/>
      <c r="PYU129" s="18"/>
      <c r="PYV129" s="18"/>
      <c r="PYW129" s="18"/>
      <c r="PYX129" s="18"/>
      <c r="PYY129" s="18"/>
      <c r="PYZ129" s="18"/>
      <c r="PZA129" s="18"/>
      <c r="PZB129" s="18"/>
      <c r="PZC129" s="18"/>
      <c r="PZD129" s="18"/>
      <c r="PZE129" s="18"/>
      <c r="PZF129" s="18"/>
      <c r="PZG129" s="18"/>
      <c r="PZH129" s="18"/>
      <c r="PZI129" s="18"/>
      <c r="PZJ129" s="18"/>
      <c r="PZK129" s="18"/>
      <c r="PZL129" s="18"/>
      <c r="PZM129" s="18"/>
      <c r="PZN129" s="18"/>
      <c r="PZO129" s="18"/>
      <c r="PZP129" s="18"/>
      <c r="PZQ129" s="18"/>
      <c r="PZR129" s="18"/>
      <c r="PZS129" s="18"/>
      <c r="PZT129" s="18"/>
      <c r="PZU129" s="18"/>
      <c r="PZV129" s="18"/>
      <c r="PZW129" s="18"/>
      <c r="PZX129" s="18"/>
      <c r="PZY129" s="18"/>
      <c r="PZZ129" s="18"/>
      <c r="QAA129" s="18"/>
      <c r="QAB129" s="18"/>
      <c r="QAC129" s="18"/>
      <c r="QAD129" s="18"/>
      <c r="QAE129" s="18"/>
      <c r="QAF129" s="18"/>
      <c r="QAG129" s="18"/>
      <c r="QAH129" s="18"/>
      <c r="QAI129" s="18"/>
      <c r="QAJ129" s="18"/>
      <c r="QAK129" s="18"/>
      <c r="QAL129" s="18"/>
      <c r="QAM129" s="18"/>
      <c r="QAN129" s="18"/>
      <c r="QAO129" s="18"/>
      <c r="QAP129" s="18"/>
      <c r="QAQ129" s="18"/>
      <c r="QAR129" s="18"/>
      <c r="QAS129" s="18"/>
      <c r="QAT129" s="18"/>
      <c r="QAU129" s="18"/>
      <c r="QAV129" s="18"/>
      <c r="QAW129" s="18"/>
      <c r="QAX129" s="18"/>
      <c r="QAY129" s="18"/>
      <c r="QAZ129" s="18"/>
      <c r="QBA129" s="18"/>
      <c r="QBB129" s="18"/>
      <c r="QBC129" s="18"/>
      <c r="QBD129" s="18"/>
      <c r="QBE129" s="18"/>
      <c r="QBF129" s="18"/>
      <c r="QBG129" s="18"/>
      <c r="QBH129" s="18"/>
      <c r="QBI129" s="18"/>
      <c r="QBJ129" s="18"/>
      <c r="QBK129" s="18"/>
      <c r="QBL129" s="18"/>
      <c r="QBM129" s="18"/>
      <c r="QBN129" s="18"/>
      <c r="QBO129" s="18"/>
      <c r="QBP129" s="18"/>
      <c r="QBQ129" s="18"/>
      <c r="QBR129" s="18"/>
      <c r="QBS129" s="18"/>
      <c r="QBT129" s="18"/>
      <c r="QBU129" s="18"/>
      <c r="QBV129" s="18"/>
      <c r="QBW129" s="18"/>
      <c r="QBX129" s="18"/>
      <c r="QBY129" s="18"/>
      <c r="QBZ129" s="18"/>
      <c r="QCA129" s="18"/>
      <c r="QCB129" s="18"/>
      <c r="QCC129" s="18"/>
      <c r="QCD129" s="18"/>
      <c r="QCE129" s="18"/>
      <c r="QCF129" s="18"/>
      <c r="QCG129" s="18"/>
      <c r="QCH129" s="18"/>
      <c r="QCI129" s="18"/>
      <c r="QCJ129" s="18"/>
      <c r="QCK129" s="18"/>
      <c r="QCL129" s="18"/>
      <c r="QCM129" s="18"/>
      <c r="QCN129" s="18"/>
      <c r="QCO129" s="18"/>
      <c r="QCP129" s="18"/>
      <c r="QCQ129" s="18"/>
      <c r="QCR129" s="18"/>
      <c r="QCS129" s="18"/>
      <c r="QCT129" s="18"/>
      <c r="QCU129" s="18"/>
      <c r="QCV129" s="18"/>
      <c r="QCW129" s="18"/>
      <c r="QCX129" s="18"/>
      <c r="QCY129" s="18"/>
      <c r="QCZ129" s="18"/>
      <c r="QDA129" s="18"/>
      <c r="QDB129" s="18"/>
      <c r="QDC129" s="18"/>
      <c r="QDD129" s="18"/>
      <c r="QDE129" s="18"/>
      <c r="QDF129" s="18"/>
      <c r="QDG129" s="18"/>
      <c r="QDH129" s="18"/>
      <c r="QDI129" s="18"/>
      <c r="QDJ129" s="18"/>
      <c r="QDK129" s="18"/>
      <c r="QDL129" s="18"/>
      <c r="QDM129" s="18"/>
      <c r="QDN129" s="18"/>
      <c r="QDO129" s="18"/>
      <c r="QDP129" s="18"/>
      <c r="QDQ129" s="18"/>
      <c r="QDR129" s="18"/>
      <c r="QDS129" s="18"/>
      <c r="QDT129" s="18"/>
      <c r="QDU129" s="18"/>
      <c r="QDV129" s="18"/>
      <c r="QDW129" s="18"/>
      <c r="QDX129" s="18"/>
      <c r="QDY129" s="18"/>
      <c r="QDZ129" s="18"/>
      <c r="QEA129" s="18"/>
      <c r="QEB129" s="18"/>
      <c r="QEC129" s="18"/>
      <c r="QED129" s="18"/>
      <c r="QEE129" s="18"/>
      <c r="QEF129" s="18"/>
      <c r="QEG129" s="18"/>
      <c r="QEH129" s="18"/>
      <c r="QEI129" s="18"/>
      <c r="QEJ129" s="18"/>
      <c r="QEK129" s="18"/>
      <c r="QEL129" s="18"/>
      <c r="QEM129" s="18"/>
      <c r="QEN129" s="18"/>
      <c r="QEO129" s="18"/>
      <c r="QEP129" s="18"/>
      <c r="QEQ129" s="18"/>
      <c r="QER129" s="18"/>
      <c r="QES129" s="18"/>
      <c r="QET129" s="18"/>
      <c r="QEU129" s="18"/>
      <c r="QEV129" s="18"/>
      <c r="QEW129" s="18"/>
      <c r="QEX129" s="18"/>
      <c r="QEY129" s="18"/>
      <c r="QEZ129" s="18"/>
      <c r="QFA129" s="18"/>
      <c r="QFB129" s="18"/>
      <c r="QFC129" s="18"/>
      <c r="QFD129" s="18"/>
      <c r="QFE129" s="18"/>
      <c r="QFF129" s="18"/>
      <c r="QFG129" s="18"/>
      <c r="QFH129" s="18"/>
      <c r="QFI129" s="18"/>
      <c r="QFJ129" s="18"/>
      <c r="QFK129" s="18"/>
      <c r="QFL129" s="18"/>
      <c r="QFM129" s="18"/>
      <c r="QFN129" s="18"/>
      <c r="QFO129" s="18"/>
      <c r="QFP129" s="18"/>
      <c r="QFQ129" s="18"/>
      <c r="QFR129" s="18"/>
      <c r="QFS129" s="18"/>
      <c r="QFT129" s="18"/>
      <c r="QFU129" s="18"/>
      <c r="QFV129" s="18"/>
      <c r="QFW129" s="18"/>
      <c r="QFX129" s="18"/>
      <c r="QFY129" s="18"/>
      <c r="QFZ129" s="18"/>
      <c r="QGA129" s="18"/>
      <c r="QGB129" s="18"/>
      <c r="QGC129" s="18"/>
      <c r="QGD129" s="18"/>
      <c r="QGE129" s="18"/>
      <c r="QGF129" s="18"/>
      <c r="QGG129" s="18"/>
      <c r="QGH129" s="18"/>
      <c r="QGI129" s="18"/>
      <c r="QGJ129" s="18"/>
      <c r="QGK129" s="18"/>
      <c r="QGL129" s="18"/>
      <c r="QGM129" s="18"/>
      <c r="QGN129" s="18"/>
      <c r="QGO129" s="18"/>
      <c r="QGP129" s="18"/>
      <c r="QGQ129" s="18"/>
      <c r="QGR129" s="18"/>
      <c r="QGS129" s="18"/>
      <c r="QGT129" s="18"/>
      <c r="QGU129" s="18"/>
      <c r="QGV129" s="18"/>
      <c r="QGW129" s="18"/>
      <c r="QGX129" s="18"/>
      <c r="QGY129" s="18"/>
      <c r="QGZ129" s="18"/>
      <c r="QHA129" s="18"/>
      <c r="QHB129" s="18"/>
      <c r="QHC129" s="18"/>
      <c r="QHD129" s="18"/>
      <c r="QHE129" s="18"/>
      <c r="QHF129" s="18"/>
      <c r="QHG129" s="18"/>
      <c r="QHH129" s="18"/>
      <c r="QHI129" s="18"/>
      <c r="QHJ129" s="18"/>
      <c r="QHK129" s="18"/>
      <c r="QHL129" s="18"/>
      <c r="QHM129" s="18"/>
      <c r="QHN129" s="18"/>
      <c r="QHO129" s="18"/>
      <c r="QHP129" s="18"/>
      <c r="QHQ129" s="18"/>
      <c r="QHR129" s="18"/>
      <c r="QHS129" s="18"/>
      <c r="QHT129" s="18"/>
      <c r="QHU129" s="18"/>
      <c r="QHV129" s="18"/>
      <c r="QHW129" s="18"/>
      <c r="QHX129" s="18"/>
      <c r="QHY129" s="18"/>
      <c r="QHZ129" s="18"/>
      <c r="QIA129" s="18"/>
      <c r="QIB129" s="18"/>
      <c r="QIC129" s="18"/>
      <c r="QID129" s="18"/>
      <c r="QIE129" s="18"/>
      <c r="QIF129" s="18"/>
      <c r="QIG129" s="18"/>
      <c r="QIH129" s="18"/>
      <c r="QII129" s="18"/>
      <c r="QIJ129" s="18"/>
      <c r="QIK129" s="18"/>
      <c r="QIL129" s="18"/>
      <c r="QIM129" s="18"/>
      <c r="QIN129" s="18"/>
      <c r="QIO129" s="18"/>
      <c r="QIP129" s="18"/>
      <c r="QIQ129" s="18"/>
      <c r="QIR129" s="18"/>
      <c r="QIS129" s="18"/>
      <c r="QIT129" s="18"/>
      <c r="QIU129" s="18"/>
      <c r="QIV129" s="18"/>
      <c r="QIW129" s="18"/>
      <c r="QIX129" s="18"/>
      <c r="QIY129" s="18"/>
      <c r="QIZ129" s="18"/>
      <c r="QJA129" s="18"/>
      <c r="QJB129" s="18"/>
      <c r="QJC129" s="18"/>
      <c r="QJD129" s="18"/>
      <c r="QJE129" s="18"/>
      <c r="QJF129" s="18"/>
      <c r="QJG129" s="18"/>
      <c r="QJH129" s="18"/>
      <c r="QJI129" s="18"/>
      <c r="QJJ129" s="18"/>
      <c r="QJK129" s="18"/>
      <c r="QJL129" s="18"/>
      <c r="QJM129" s="18"/>
      <c r="QJN129" s="18"/>
      <c r="QJO129" s="18"/>
      <c r="QJP129" s="18"/>
      <c r="QJQ129" s="18"/>
      <c r="QJR129" s="18"/>
      <c r="QJS129" s="18"/>
      <c r="QJT129" s="18"/>
      <c r="QJU129" s="18"/>
      <c r="QJV129" s="18"/>
      <c r="QJW129" s="18"/>
      <c r="QJX129" s="18"/>
      <c r="QJY129" s="18"/>
      <c r="QJZ129" s="18"/>
      <c r="QKA129" s="18"/>
      <c r="QKB129" s="18"/>
      <c r="QKC129" s="18"/>
      <c r="QKD129" s="18"/>
      <c r="QKE129" s="18"/>
      <c r="QKF129" s="18"/>
      <c r="QKG129" s="18"/>
      <c r="QKH129" s="18"/>
      <c r="QKI129" s="18"/>
      <c r="QKJ129" s="18"/>
      <c r="QKK129" s="18"/>
      <c r="QKL129" s="18"/>
      <c r="QKM129" s="18"/>
      <c r="QKN129" s="18"/>
      <c r="QKO129" s="18"/>
      <c r="QKP129" s="18"/>
      <c r="QKQ129" s="18"/>
      <c r="QKR129" s="18"/>
      <c r="QKS129" s="18"/>
      <c r="QKT129" s="18"/>
      <c r="QKU129" s="18"/>
      <c r="QKV129" s="18"/>
      <c r="QKW129" s="18"/>
      <c r="QKX129" s="18"/>
      <c r="QKY129" s="18"/>
      <c r="QKZ129" s="18"/>
      <c r="QLA129" s="18"/>
      <c r="QLB129" s="18"/>
      <c r="QLC129" s="18"/>
      <c r="QLD129" s="18"/>
      <c r="QLE129" s="18"/>
      <c r="QLF129" s="18"/>
      <c r="QLG129" s="18"/>
      <c r="QLH129" s="18"/>
      <c r="QLI129" s="18"/>
      <c r="QLJ129" s="18"/>
      <c r="QLK129" s="18"/>
      <c r="QLL129" s="18"/>
      <c r="QLM129" s="18"/>
      <c r="QLN129" s="18"/>
      <c r="QLO129" s="18"/>
      <c r="QLP129" s="18"/>
      <c r="QLQ129" s="18"/>
      <c r="QLR129" s="18"/>
      <c r="QLS129" s="18"/>
      <c r="QLT129" s="18"/>
      <c r="QLU129" s="18"/>
      <c r="QLV129" s="18"/>
      <c r="QLW129" s="18"/>
      <c r="QLX129" s="18"/>
      <c r="QLY129" s="18"/>
      <c r="QLZ129" s="18"/>
      <c r="QMA129" s="18"/>
      <c r="QMB129" s="18"/>
      <c r="QMC129" s="18"/>
      <c r="QMD129" s="18"/>
      <c r="QME129" s="18"/>
      <c r="QMF129" s="18"/>
      <c r="QMG129" s="18"/>
      <c r="QMH129" s="18"/>
      <c r="QMI129" s="18"/>
      <c r="QMJ129" s="18"/>
      <c r="QMK129" s="18"/>
      <c r="QML129" s="18"/>
      <c r="QMM129" s="18"/>
      <c r="QMN129" s="18"/>
      <c r="QMO129" s="18"/>
      <c r="QMP129" s="18"/>
      <c r="QMQ129" s="18"/>
      <c r="QMR129" s="18"/>
      <c r="QMS129" s="18"/>
      <c r="QMT129" s="18"/>
      <c r="QMU129" s="18"/>
      <c r="QMV129" s="18"/>
      <c r="QMW129" s="18"/>
      <c r="QMX129" s="18"/>
      <c r="QMY129" s="18"/>
      <c r="QMZ129" s="18"/>
      <c r="QNA129" s="18"/>
      <c r="QNB129" s="18"/>
      <c r="QNC129" s="18"/>
      <c r="QND129" s="18"/>
      <c r="QNE129" s="18"/>
      <c r="QNF129" s="18"/>
      <c r="QNG129" s="18"/>
      <c r="QNH129" s="18"/>
      <c r="QNI129" s="18"/>
      <c r="QNJ129" s="18"/>
      <c r="QNK129" s="18"/>
      <c r="QNL129" s="18"/>
      <c r="QNM129" s="18"/>
      <c r="QNN129" s="18"/>
      <c r="QNO129" s="18"/>
      <c r="QNP129" s="18"/>
      <c r="QNQ129" s="18"/>
      <c r="QNR129" s="18"/>
      <c r="QNS129" s="18"/>
      <c r="QNT129" s="18"/>
      <c r="QNU129" s="18"/>
      <c r="QNV129" s="18"/>
      <c r="QNW129" s="18"/>
      <c r="QNX129" s="18"/>
      <c r="QNY129" s="18"/>
      <c r="QNZ129" s="18"/>
      <c r="QOA129" s="18"/>
      <c r="QOB129" s="18"/>
      <c r="QOC129" s="18"/>
      <c r="QOD129" s="18"/>
      <c r="QOE129" s="18"/>
      <c r="QOF129" s="18"/>
      <c r="QOG129" s="18"/>
      <c r="QOH129" s="18"/>
      <c r="QOI129" s="18"/>
      <c r="QOJ129" s="18"/>
      <c r="QOK129" s="18"/>
      <c r="QOL129" s="18"/>
      <c r="QOM129" s="18"/>
      <c r="QON129" s="18"/>
      <c r="QOO129" s="18"/>
      <c r="QOP129" s="18"/>
      <c r="QOQ129" s="18"/>
      <c r="QOR129" s="18"/>
      <c r="QOS129" s="18"/>
      <c r="QOT129" s="18"/>
      <c r="QOU129" s="18"/>
      <c r="QOV129" s="18"/>
      <c r="QOW129" s="18"/>
      <c r="QOX129" s="18"/>
      <c r="QOY129" s="18"/>
      <c r="QOZ129" s="18"/>
      <c r="QPA129" s="18"/>
      <c r="QPB129" s="18"/>
      <c r="QPC129" s="18"/>
      <c r="QPD129" s="18"/>
      <c r="QPE129" s="18"/>
      <c r="QPF129" s="18"/>
      <c r="QPG129" s="18"/>
      <c r="QPH129" s="18"/>
      <c r="QPI129" s="18"/>
      <c r="QPJ129" s="18"/>
      <c r="QPK129" s="18"/>
      <c r="QPL129" s="18"/>
      <c r="QPM129" s="18"/>
      <c r="QPN129" s="18"/>
      <c r="QPO129" s="18"/>
      <c r="QPP129" s="18"/>
      <c r="QPQ129" s="18"/>
      <c r="QPR129" s="18"/>
      <c r="QPS129" s="18"/>
      <c r="QPT129" s="18"/>
      <c r="QPU129" s="18"/>
      <c r="QPV129" s="18"/>
      <c r="QPW129" s="18"/>
      <c r="QPX129" s="18"/>
      <c r="QPY129" s="18"/>
      <c r="QPZ129" s="18"/>
      <c r="QQA129" s="18"/>
      <c r="QQB129" s="18"/>
      <c r="QQC129" s="18"/>
      <c r="QQD129" s="18"/>
      <c r="QQE129" s="18"/>
      <c r="QQF129" s="18"/>
      <c r="QQG129" s="18"/>
      <c r="QQH129" s="18"/>
      <c r="QQI129" s="18"/>
      <c r="QQJ129" s="18"/>
      <c r="QQK129" s="18"/>
      <c r="QQL129" s="18"/>
      <c r="QQM129" s="18"/>
      <c r="QQN129" s="18"/>
      <c r="QQO129" s="18"/>
      <c r="QQP129" s="18"/>
      <c r="QQQ129" s="18"/>
      <c r="QQR129" s="18"/>
      <c r="QQS129" s="18"/>
      <c r="QQT129" s="18"/>
      <c r="QQU129" s="18"/>
      <c r="QQV129" s="18"/>
      <c r="QQW129" s="18"/>
      <c r="QQX129" s="18"/>
      <c r="QQY129" s="18"/>
      <c r="QQZ129" s="18"/>
      <c r="QRA129" s="18"/>
      <c r="QRB129" s="18"/>
      <c r="QRC129" s="18"/>
      <c r="QRD129" s="18"/>
      <c r="QRE129" s="18"/>
      <c r="QRF129" s="18"/>
      <c r="QRG129" s="18"/>
      <c r="QRH129" s="18"/>
      <c r="QRI129" s="18"/>
      <c r="QRJ129" s="18"/>
      <c r="QRK129" s="18"/>
      <c r="QRL129" s="18"/>
      <c r="QRM129" s="18"/>
      <c r="QRN129" s="18"/>
      <c r="QRO129" s="18"/>
      <c r="QRP129" s="18"/>
      <c r="QRQ129" s="18"/>
      <c r="QRR129" s="18"/>
      <c r="QRS129" s="18"/>
      <c r="QRT129" s="18"/>
      <c r="QRU129" s="18"/>
      <c r="QRV129" s="18"/>
      <c r="QRW129" s="18"/>
      <c r="QRX129" s="18"/>
      <c r="QRY129" s="18"/>
      <c r="QRZ129" s="18"/>
      <c r="QSA129" s="18"/>
      <c r="QSB129" s="18"/>
      <c r="QSC129" s="18"/>
      <c r="QSD129" s="18"/>
      <c r="QSE129" s="18"/>
      <c r="QSF129" s="18"/>
      <c r="QSG129" s="18"/>
      <c r="QSH129" s="18"/>
      <c r="QSI129" s="18"/>
      <c r="QSJ129" s="18"/>
      <c r="QSK129" s="18"/>
      <c r="QSL129" s="18"/>
      <c r="QSM129" s="18"/>
      <c r="QSN129" s="18"/>
      <c r="QSO129" s="18"/>
      <c r="QSP129" s="18"/>
      <c r="QSQ129" s="18"/>
      <c r="QSR129" s="18"/>
      <c r="QSS129" s="18"/>
      <c r="QST129" s="18"/>
      <c r="QSU129" s="18"/>
      <c r="QSV129" s="18"/>
      <c r="QSW129" s="18"/>
      <c r="QSX129" s="18"/>
      <c r="QSY129" s="18"/>
      <c r="QSZ129" s="18"/>
      <c r="QTA129" s="18"/>
      <c r="QTB129" s="18"/>
      <c r="QTC129" s="18"/>
      <c r="QTD129" s="18"/>
      <c r="QTE129" s="18"/>
      <c r="QTF129" s="18"/>
      <c r="QTG129" s="18"/>
      <c r="QTH129" s="18"/>
      <c r="QTI129" s="18"/>
      <c r="QTJ129" s="18"/>
      <c r="QTK129" s="18"/>
      <c r="QTL129" s="18"/>
      <c r="QTM129" s="18"/>
      <c r="QTN129" s="18"/>
      <c r="QTO129" s="18"/>
      <c r="QTP129" s="18"/>
      <c r="QTQ129" s="18"/>
      <c r="QTR129" s="18"/>
      <c r="QTS129" s="18"/>
      <c r="QTT129" s="18"/>
      <c r="QTU129" s="18"/>
      <c r="QTV129" s="18"/>
      <c r="QTW129" s="18"/>
      <c r="QTX129" s="18"/>
      <c r="QTY129" s="18"/>
      <c r="QTZ129" s="18"/>
      <c r="QUA129" s="18"/>
      <c r="QUB129" s="18"/>
      <c r="QUC129" s="18"/>
      <c r="QUD129" s="18"/>
      <c r="QUE129" s="18"/>
      <c r="QUF129" s="18"/>
      <c r="QUG129" s="18"/>
      <c r="QUH129" s="18"/>
      <c r="QUI129" s="18"/>
      <c r="QUJ129" s="18"/>
      <c r="QUK129" s="18"/>
      <c r="QUL129" s="18"/>
      <c r="QUM129" s="18"/>
      <c r="QUN129" s="18"/>
      <c r="QUO129" s="18"/>
      <c r="QUP129" s="18"/>
      <c r="QUQ129" s="18"/>
      <c r="QUR129" s="18"/>
      <c r="QUS129" s="18"/>
      <c r="QUT129" s="18"/>
      <c r="QUU129" s="18"/>
      <c r="QUV129" s="18"/>
      <c r="QUW129" s="18"/>
      <c r="QUX129" s="18"/>
      <c r="QUY129" s="18"/>
      <c r="QUZ129" s="18"/>
      <c r="QVA129" s="18"/>
      <c r="QVB129" s="18"/>
      <c r="QVC129" s="18"/>
      <c r="QVD129" s="18"/>
      <c r="QVE129" s="18"/>
      <c r="QVF129" s="18"/>
      <c r="QVG129" s="18"/>
      <c r="QVH129" s="18"/>
      <c r="QVI129" s="18"/>
      <c r="QVJ129" s="18"/>
      <c r="QVK129" s="18"/>
      <c r="QVL129" s="18"/>
      <c r="QVM129" s="18"/>
      <c r="QVN129" s="18"/>
      <c r="QVO129" s="18"/>
      <c r="QVP129" s="18"/>
      <c r="QVQ129" s="18"/>
      <c r="QVR129" s="18"/>
      <c r="QVS129" s="18"/>
      <c r="QVT129" s="18"/>
      <c r="QVU129" s="18"/>
      <c r="QVV129" s="18"/>
      <c r="QVW129" s="18"/>
      <c r="QVX129" s="18"/>
      <c r="QVY129" s="18"/>
      <c r="QVZ129" s="18"/>
      <c r="QWA129" s="18"/>
      <c r="QWB129" s="18"/>
      <c r="QWC129" s="18"/>
      <c r="QWD129" s="18"/>
      <c r="QWE129" s="18"/>
      <c r="QWF129" s="18"/>
      <c r="QWG129" s="18"/>
      <c r="QWH129" s="18"/>
      <c r="QWI129" s="18"/>
      <c r="QWJ129" s="18"/>
      <c r="QWK129" s="18"/>
      <c r="QWL129" s="18"/>
      <c r="QWM129" s="18"/>
      <c r="QWN129" s="18"/>
      <c r="QWO129" s="18"/>
      <c r="QWP129" s="18"/>
      <c r="QWQ129" s="18"/>
      <c r="QWR129" s="18"/>
      <c r="QWS129" s="18"/>
      <c r="QWT129" s="18"/>
      <c r="QWU129" s="18"/>
      <c r="QWV129" s="18"/>
      <c r="QWW129" s="18"/>
      <c r="QWX129" s="18"/>
      <c r="QWY129" s="18"/>
      <c r="QWZ129" s="18"/>
      <c r="QXA129" s="18"/>
      <c r="QXB129" s="18"/>
      <c r="QXC129" s="18"/>
      <c r="QXD129" s="18"/>
      <c r="QXE129" s="18"/>
      <c r="QXF129" s="18"/>
      <c r="QXG129" s="18"/>
      <c r="QXH129" s="18"/>
      <c r="QXI129" s="18"/>
      <c r="QXJ129" s="18"/>
      <c r="QXK129" s="18"/>
      <c r="QXL129" s="18"/>
      <c r="QXM129" s="18"/>
      <c r="QXN129" s="18"/>
      <c r="QXO129" s="18"/>
      <c r="QXP129" s="18"/>
      <c r="QXQ129" s="18"/>
      <c r="QXR129" s="18"/>
      <c r="QXS129" s="18"/>
      <c r="QXT129" s="18"/>
      <c r="QXU129" s="18"/>
      <c r="QXV129" s="18"/>
      <c r="QXW129" s="18"/>
      <c r="QXX129" s="18"/>
      <c r="QXY129" s="18"/>
      <c r="QXZ129" s="18"/>
      <c r="QYA129" s="18"/>
      <c r="QYB129" s="18"/>
      <c r="QYC129" s="18"/>
      <c r="QYD129" s="18"/>
      <c r="QYE129" s="18"/>
      <c r="QYF129" s="18"/>
      <c r="QYG129" s="18"/>
      <c r="QYH129" s="18"/>
      <c r="QYI129" s="18"/>
      <c r="QYJ129" s="18"/>
      <c r="QYK129" s="18"/>
      <c r="QYL129" s="18"/>
      <c r="QYM129" s="18"/>
      <c r="QYN129" s="18"/>
      <c r="QYO129" s="18"/>
      <c r="QYP129" s="18"/>
      <c r="QYQ129" s="18"/>
      <c r="QYR129" s="18"/>
      <c r="QYS129" s="18"/>
      <c r="QYT129" s="18"/>
      <c r="QYU129" s="18"/>
      <c r="QYV129" s="18"/>
      <c r="QYW129" s="18"/>
      <c r="QYX129" s="18"/>
      <c r="QYY129" s="18"/>
      <c r="QYZ129" s="18"/>
      <c r="QZA129" s="18"/>
      <c r="QZB129" s="18"/>
      <c r="QZC129" s="18"/>
      <c r="QZD129" s="18"/>
      <c r="QZE129" s="18"/>
      <c r="QZF129" s="18"/>
      <c r="QZG129" s="18"/>
      <c r="QZH129" s="18"/>
      <c r="QZI129" s="18"/>
      <c r="QZJ129" s="18"/>
      <c r="QZK129" s="18"/>
      <c r="QZL129" s="18"/>
      <c r="QZM129" s="18"/>
      <c r="QZN129" s="18"/>
      <c r="QZO129" s="18"/>
      <c r="QZP129" s="18"/>
      <c r="QZQ129" s="18"/>
      <c r="QZR129" s="18"/>
      <c r="QZS129" s="18"/>
      <c r="QZT129" s="18"/>
      <c r="QZU129" s="18"/>
      <c r="QZV129" s="18"/>
      <c r="QZW129" s="18"/>
      <c r="QZX129" s="18"/>
      <c r="QZY129" s="18"/>
      <c r="QZZ129" s="18"/>
      <c r="RAA129" s="18"/>
      <c r="RAB129" s="18"/>
      <c r="RAC129" s="18"/>
      <c r="RAD129" s="18"/>
      <c r="RAE129" s="18"/>
      <c r="RAF129" s="18"/>
      <c r="RAG129" s="18"/>
      <c r="RAH129" s="18"/>
      <c r="RAI129" s="18"/>
      <c r="RAJ129" s="18"/>
      <c r="RAK129" s="18"/>
      <c r="RAL129" s="18"/>
      <c r="RAM129" s="18"/>
      <c r="RAN129" s="18"/>
      <c r="RAO129" s="18"/>
      <c r="RAP129" s="18"/>
      <c r="RAQ129" s="18"/>
      <c r="RAR129" s="18"/>
      <c r="RAS129" s="18"/>
      <c r="RAT129" s="18"/>
      <c r="RAU129" s="18"/>
      <c r="RAV129" s="18"/>
      <c r="RAW129" s="18"/>
      <c r="RAX129" s="18"/>
      <c r="RAY129" s="18"/>
      <c r="RAZ129" s="18"/>
      <c r="RBA129" s="18"/>
      <c r="RBB129" s="18"/>
      <c r="RBC129" s="18"/>
      <c r="RBD129" s="18"/>
      <c r="RBE129" s="18"/>
      <c r="RBF129" s="18"/>
      <c r="RBG129" s="18"/>
      <c r="RBH129" s="18"/>
      <c r="RBI129" s="18"/>
      <c r="RBJ129" s="18"/>
      <c r="RBK129" s="18"/>
      <c r="RBL129" s="18"/>
      <c r="RBM129" s="18"/>
      <c r="RBN129" s="18"/>
      <c r="RBO129" s="18"/>
      <c r="RBP129" s="18"/>
      <c r="RBQ129" s="18"/>
      <c r="RBR129" s="18"/>
      <c r="RBS129" s="18"/>
      <c r="RBT129" s="18"/>
      <c r="RBU129" s="18"/>
      <c r="RBV129" s="18"/>
      <c r="RBW129" s="18"/>
      <c r="RBX129" s="18"/>
      <c r="RBY129" s="18"/>
      <c r="RBZ129" s="18"/>
      <c r="RCA129" s="18"/>
      <c r="RCB129" s="18"/>
      <c r="RCC129" s="18"/>
      <c r="RCD129" s="18"/>
      <c r="RCE129" s="18"/>
      <c r="RCF129" s="18"/>
      <c r="RCG129" s="18"/>
      <c r="RCH129" s="18"/>
      <c r="RCI129" s="18"/>
      <c r="RCJ129" s="18"/>
      <c r="RCK129" s="18"/>
      <c r="RCL129" s="18"/>
      <c r="RCM129" s="18"/>
      <c r="RCN129" s="18"/>
      <c r="RCO129" s="18"/>
      <c r="RCP129" s="18"/>
      <c r="RCQ129" s="18"/>
      <c r="RCR129" s="18"/>
      <c r="RCS129" s="18"/>
      <c r="RCT129" s="18"/>
      <c r="RCU129" s="18"/>
      <c r="RCV129" s="18"/>
      <c r="RCW129" s="18"/>
      <c r="RCX129" s="18"/>
      <c r="RCY129" s="18"/>
      <c r="RCZ129" s="18"/>
      <c r="RDA129" s="18"/>
      <c r="RDB129" s="18"/>
      <c r="RDC129" s="18"/>
      <c r="RDD129" s="18"/>
      <c r="RDE129" s="18"/>
      <c r="RDF129" s="18"/>
      <c r="RDG129" s="18"/>
      <c r="RDH129" s="18"/>
      <c r="RDI129" s="18"/>
      <c r="RDJ129" s="18"/>
      <c r="RDK129" s="18"/>
      <c r="RDL129" s="18"/>
      <c r="RDM129" s="18"/>
      <c r="RDN129" s="18"/>
      <c r="RDO129" s="18"/>
      <c r="RDP129" s="18"/>
      <c r="RDQ129" s="18"/>
      <c r="RDR129" s="18"/>
      <c r="RDS129" s="18"/>
      <c r="RDT129" s="18"/>
      <c r="RDU129" s="18"/>
      <c r="RDV129" s="18"/>
      <c r="RDW129" s="18"/>
      <c r="RDX129" s="18"/>
      <c r="RDY129" s="18"/>
      <c r="RDZ129" s="18"/>
      <c r="REA129" s="18"/>
      <c r="REB129" s="18"/>
      <c r="REC129" s="18"/>
      <c r="RED129" s="18"/>
      <c r="REE129" s="18"/>
      <c r="REF129" s="18"/>
      <c r="REG129" s="18"/>
      <c r="REH129" s="18"/>
      <c r="REI129" s="18"/>
      <c r="REJ129" s="18"/>
      <c r="REK129" s="18"/>
      <c r="REL129" s="18"/>
      <c r="REM129" s="18"/>
      <c r="REN129" s="18"/>
      <c r="REO129" s="18"/>
      <c r="REP129" s="18"/>
      <c r="REQ129" s="18"/>
      <c r="RER129" s="18"/>
      <c r="RES129" s="18"/>
      <c r="RET129" s="18"/>
      <c r="REU129" s="18"/>
      <c r="REV129" s="18"/>
      <c r="REW129" s="18"/>
      <c r="REX129" s="18"/>
      <c r="REY129" s="18"/>
      <c r="REZ129" s="18"/>
      <c r="RFA129" s="18"/>
      <c r="RFB129" s="18"/>
      <c r="RFC129" s="18"/>
      <c r="RFD129" s="18"/>
      <c r="RFE129" s="18"/>
      <c r="RFF129" s="18"/>
      <c r="RFG129" s="18"/>
      <c r="RFH129" s="18"/>
      <c r="RFI129" s="18"/>
      <c r="RFJ129" s="18"/>
      <c r="RFK129" s="18"/>
      <c r="RFL129" s="18"/>
      <c r="RFM129" s="18"/>
      <c r="RFN129" s="18"/>
      <c r="RFO129" s="18"/>
      <c r="RFP129" s="18"/>
      <c r="RFQ129" s="18"/>
      <c r="RFR129" s="18"/>
      <c r="RFS129" s="18"/>
      <c r="RFT129" s="18"/>
      <c r="RFU129" s="18"/>
      <c r="RFV129" s="18"/>
      <c r="RFW129" s="18"/>
      <c r="RFX129" s="18"/>
      <c r="RFY129" s="18"/>
      <c r="RFZ129" s="18"/>
      <c r="RGA129" s="18"/>
      <c r="RGB129" s="18"/>
      <c r="RGC129" s="18"/>
      <c r="RGD129" s="18"/>
      <c r="RGE129" s="18"/>
      <c r="RGF129" s="18"/>
      <c r="RGG129" s="18"/>
      <c r="RGH129" s="18"/>
      <c r="RGI129" s="18"/>
      <c r="RGJ129" s="18"/>
      <c r="RGK129" s="18"/>
      <c r="RGL129" s="18"/>
      <c r="RGM129" s="18"/>
      <c r="RGN129" s="18"/>
      <c r="RGO129" s="18"/>
      <c r="RGP129" s="18"/>
      <c r="RGQ129" s="18"/>
      <c r="RGR129" s="18"/>
      <c r="RGS129" s="18"/>
      <c r="RGT129" s="18"/>
      <c r="RGU129" s="18"/>
      <c r="RGV129" s="18"/>
      <c r="RGW129" s="18"/>
      <c r="RGX129" s="18"/>
      <c r="RGY129" s="18"/>
      <c r="RGZ129" s="18"/>
      <c r="RHA129" s="18"/>
      <c r="RHB129" s="18"/>
      <c r="RHC129" s="18"/>
      <c r="RHD129" s="18"/>
      <c r="RHE129" s="18"/>
      <c r="RHF129" s="18"/>
      <c r="RHG129" s="18"/>
      <c r="RHH129" s="18"/>
      <c r="RHI129" s="18"/>
      <c r="RHJ129" s="18"/>
      <c r="RHK129" s="18"/>
      <c r="RHL129" s="18"/>
      <c r="RHM129" s="18"/>
      <c r="RHN129" s="18"/>
      <c r="RHO129" s="18"/>
      <c r="RHP129" s="18"/>
      <c r="RHQ129" s="18"/>
      <c r="RHR129" s="18"/>
      <c r="RHS129" s="18"/>
      <c r="RHT129" s="18"/>
      <c r="RHU129" s="18"/>
      <c r="RHV129" s="18"/>
      <c r="RHW129" s="18"/>
      <c r="RHX129" s="18"/>
      <c r="RHY129" s="18"/>
      <c r="RHZ129" s="18"/>
      <c r="RIA129" s="18"/>
      <c r="RIB129" s="18"/>
      <c r="RIC129" s="18"/>
      <c r="RID129" s="18"/>
      <c r="RIE129" s="18"/>
      <c r="RIF129" s="18"/>
      <c r="RIG129" s="18"/>
      <c r="RIH129" s="18"/>
      <c r="RII129" s="18"/>
      <c r="RIJ129" s="18"/>
      <c r="RIK129" s="18"/>
      <c r="RIL129" s="18"/>
      <c r="RIM129" s="18"/>
      <c r="RIN129" s="18"/>
      <c r="RIO129" s="18"/>
      <c r="RIP129" s="18"/>
      <c r="RIQ129" s="18"/>
      <c r="RIR129" s="18"/>
      <c r="RIS129" s="18"/>
      <c r="RIT129" s="18"/>
      <c r="RIU129" s="18"/>
      <c r="RIV129" s="18"/>
      <c r="RIW129" s="18"/>
      <c r="RIX129" s="18"/>
      <c r="RIY129" s="18"/>
      <c r="RIZ129" s="18"/>
      <c r="RJA129" s="18"/>
      <c r="RJB129" s="18"/>
      <c r="RJC129" s="18"/>
      <c r="RJD129" s="18"/>
      <c r="RJE129" s="18"/>
      <c r="RJF129" s="18"/>
      <c r="RJG129" s="18"/>
      <c r="RJH129" s="18"/>
      <c r="RJI129" s="18"/>
      <c r="RJJ129" s="18"/>
      <c r="RJK129" s="18"/>
      <c r="RJL129" s="18"/>
      <c r="RJM129" s="18"/>
      <c r="RJN129" s="18"/>
      <c r="RJO129" s="18"/>
      <c r="RJP129" s="18"/>
      <c r="RJQ129" s="18"/>
      <c r="RJR129" s="18"/>
      <c r="RJS129" s="18"/>
      <c r="RJT129" s="18"/>
      <c r="RJU129" s="18"/>
      <c r="RJV129" s="18"/>
      <c r="RJW129" s="18"/>
      <c r="RJX129" s="18"/>
      <c r="RJY129" s="18"/>
      <c r="RJZ129" s="18"/>
      <c r="RKA129" s="18"/>
      <c r="RKB129" s="18"/>
      <c r="RKC129" s="18"/>
      <c r="RKD129" s="18"/>
      <c r="RKE129" s="18"/>
      <c r="RKF129" s="18"/>
      <c r="RKG129" s="18"/>
      <c r="RKH129" s="18"/>
      <c r="RKI129" s="18"/>
      <c r="RKJ129" s="18"/>
      <c r="RKK129" s="18"/>
      <c r="RKL129" s="18"/>
      <c r="RKM129" s="18"/>
      <c r="RKN129" s="18"/>
      <c r="RKO129" s="18"/>
      <c r="RKP129" s="18"/>
      <c r="RKQ129" s="18"/>
      <c r="RKR129" s="18"/>
      <c r="RKS129" s="18"/>
      <c r="RKT129" s="18"/>
      <c r="RKU129" s="18"/>
      <c r="RKV129" s="18"/>
      <c r="RKW129" s="18"/>
      <c r="RKX129" s="18"/>
      <c r="RKY129" s="18"/>
      <c r="RKZ129" s="18"/>
      <c r="RLA129" s="18"/>
      <c r="RLB129" s="18"/>
      <c r="RLC129" s="18"/>
      <c r="RLD129" s="18"/>
      <c r="RLE129" s="18"/>
      <c r="RLF129" s="18"/>
      <c r="RLG129" s="18"/>
      <c r="RLH129" s="18"/>
      <c r="RLI129" s="18"/>
      <c r="RLJ129" s="18"/>
      <c r="RLK129" s="18"/>
      <c r="RLL129" s="18"/>
      <c r="RLM129" s="18"/>
      <c r="RLN129" s="18"/>
      <c r="RLO129" s="18"/>
      <c r="RLP129" s="18"/>
      <c r="RLQ129" s="18"/>
      <c r="RLR129" s="18"/>
      <c r="RLS129" s="18"/>
      <c r="RLT129" s="18"/>
      <c r="RLU129" s="18"/>
      <c r="RLV129" s="18"/>
      <c r="RLW129" s="18"/>
      <c r="RLX129" s="18"/>
      <c r="RLY129" s="18"/>
      <c r="RLZ129" s="18"/>
      <c r="RMA129" s="18"/>
      <c r="RMB129" s="18"/>
      <c r="RMC129" s="18"/>
      <c r="RMD129" s="18"/>
      <c r="RME129" s="18"/>
      <c r="RMF129" s="18"/>
      <c r="RMG129" s="18"/>
      <c r="RMH129" s="18"/>
      <c r="RMI129" s="18"/>
      <c r="RMJ129" s="18"/>
      <c r="RMK129" s="18"/>
      <c r="RML129" s="18"/>
      <c r="RMM129" s="18"/>
      <c r="RMN129" s="18"/>
      <c r="RMO129" s="18"/>
      <c r="RMP129" s="18"/>
      <c r="RMQ129" s="18"/>
      <c r="RMR129" s="18"/>
      <c r="RMS129" s="18"/>
      <c r="RMT129" s="18"/>
      <c r="RMU129" s="18"/>
      <c r="RMV129" s="18"/>
      <c r="RMW129" s="18"/>
      <c r="RMX129" s="18"/>
      <c r="RMY129" s="18"/>
      <c r="RMZ129" s="18"/>
      <c r="RNA129" s="18"/>
      <c r="RNB129" s="18"/>
      <c r="RNC129" s="18"/>
      <c r="RND129" s="18"/>
      <c r="RNE129" s="18"/>
      <c r="RNF129" s="18"/>
      <c r="RNG129" s="18"/>
      <c r="RNH129" s="18"/>
      <c r="RNI129" s="18"/>
      <c r="RNJ129" s="18"/>
      <c r="RNK129" s="18"/>
      <c r="RNL129" s="18"/>
      <c r="RNM129" s="18"/>
      <c r="RNN129" s="18"/>
      <c r="RNO129" s="18"/>
      <c r="RNP129" s="18"/>
      <c r="RNQ129" s="18"/>
      <c r="RNR129" s="18"/>
      <c r="RNS129" s="18"/>
      <c r="RNT129" s="18"/>
      <c r="RNU129" s="18"/>
      <c r="RNV129" s="18"/>
      <c r="RNW129" s="18"/>
      <c r="RNX129" s="18"/>
      <c r="RNY129" s="18"/>
      <c r="RNZ129" s="18"/>
      <c r="ROA129" s="18"/>
      <c r="ROB129" s="18"/>
      <c r="ROC129" s="18"/>
      <c r="ROD129" s="18"/>
      <c r="ROE129" s="18"/>
      <c r="ROF129" s="18"/>
      <c r="ROG129" s="18"/>
      <c r="ROH129" s="18"/>
      <c r="ROI129" s="18"/>
      <c r="ROJ129" s="18"/>
      <c r="ROK129" s="18"/>
      <c r="ROL129" s="18"/>
      <c r="ROM129" s="18"/>
      <c r="RON129" s="18"/>
      <c r="ROO129" s="18"/>
      <c r="ROP129" s="18"/>
      <c r="ROQ129" s="18"/>
      <c r="ROR129" s="18"/>
      <c r="ROS129" s="18"/>
      <c r="ROT129" s="18"/>
      <c r="ROU129" s="18"/>
      <c r="ROV129" s="18"/>
      <c r="ROW129" s="18"/>
      <c r="ROX129" s="18"/>
      <c r="ROY129" s="18"/>
      <c r="ROZ129" s="18"/>
      <c r="RPA129" s="18"/>
      <c r="RPB129" s="18"/>
      <c r="RPC129" s="18"/>
      <c r="RPD129" s="18"/>
      <c r="RPE129" s="18"/>
      <c r="RPF129" s="18"/>
      <c r="RPG129" s="18"/>
      <c r="RPH129" s="18"/>
      <c r="RPI129" s="18"/>
      <c r="RPJ129" s="18"/>
      <c r="RPK129" s="18"/>
      <c r="RPL129" s="18"/>
      <c r="RPM129" s="18"/>
      <c r="RPN129" s="18"/>
      <c r="RPO129" s="18"/>
      <c r="RPP129" s="18"/>
      <c r="RPQ129" s="18"/>
      <c r="RPR129" s="18"/>
      <c r="RPS129" s="18"/>
      <c r="RPT129" s="18"/>
      <c r="RPU129" s="18"/>
      <c r="RPV129" s="18"/>
      <c r="RPW129" s="18"/>
      <c r="RPX129" s="18"/>
      <c r="RPY129" s="18"/>
      <c r="RPZ129" s="18"/>
      <c r="RQA129" s="18"/>
      <c r="RQB129" s="18"/>
      <c r="RQC129" s="18"/>
      <c r="RQD129" s="18"/>
      <c r="RQE129" s="18"/>
      <c r="RQF129" s="18"/>
      <c r="RQG129" s="18"/>
      <c r="RQH129" s="18"/>
      <c r="RQI129" s="18"/>
      <c r="RQJ129" s="18"/>
      <c r="RQK129" s="18"/>
      <c r="RQL129" s="18"/>
      <c r="RQM129" s="18"/>
      <c r="RQN129" s="18"/>
      <c r="RQO129" s="18"/>
      <c r="RQP129" s="18"/>
      <c r="RQQ129" s="18"/>
      <c r="RQR129" s="18"/>
      <c r="RQS129" s="18"/>
      <c r="RQT129" s="18"/>
      <c r="RQU129" s="18"/>
      <c r="RQV129" s="18"/>
      <c r="RQW129" s="18"/>
      <c r="RQX129" s="18"/>
      <c r="RQY129" s="18"/>
      <c r="RQZ129" s="18"/>
      <c r="RRA129" s="18"/>
      <c r="RRB129" s="18"/>
      <c r="RRC129" s="18"/>
      <c r="RRD129" s="18"/>
      <c r="RRE129" s="18"/>
      <c r="RRF129" s="18"/>
      <c r="RRG129" s="18"/>
      <c r="RRH129" s="18"/>
      <c r="RRI129" s="18"/>
      <c r="RRJ129" s="18"/>
      <c r="RRK129" s="18"/>
      <c r="RRL129" s="18"/>
      <c r="RRM129" s="18"/>
      <c r="RRN129" s="18"/>
      <c r="RRO129" s="18"/>
      <c r="RRP129" s="18"/>
      <c r="RRQ129" s="18"/>
      <c r="RRR129" s="18"/>
      <c r="RRS129" s="18"/>
      <c r="RRT129" s="18"/>
      <c r="RRU129" s="18"/>
      <c r="RRV129" s="18"/>
      <c r="RRW129" s="18"/>
      <c r="RRX129" s="18"/>
      <c r="RRY129" s="18"/>
      <c r="RRZ129" s="18"/>
      <c r="RSA129" s="18"/>
      <c r="RSB129" s="18"/>
      <c r="RSC129" s="18"/>
      <c r="RSD129" s="18"/>
      <c r="RSE129" s="18"/>
      <c r="RSF129" s="18"/>
      <c r="RSG129" s="18"/>
      <c r="RSH129" s="18"/>
      <c r="RSI129" s="18"/>
      <c r="RSJ129" s="18"/>
      <c r="RSK129" s="18"/>
      <c r="RSL129" s="18"/>
      <c r="RSM129" s="18"/>
      <c r="RSN129" s="18"/>
      <c r="RSO129" s="18"/>
      <c r="RSP129" s="18"/>
      <c r="RSQ129" s="18"/>
      <c r="RSR129" s="18"/>
      <c r="RSS129" s="18"/>
      <c r="RST129" s="18"/>
      <c r="RSU129" s="18"/>
      <c r="RSV129" s="18"/>
      <c r="RSW129" s="18"/>
      <c r="RSX129" s="18"/>
      <c r="RSY129" s="18"/>
      <c r="RSZ129" s="18"/>
      <c r="RTA129" s="18"/>
      <c r="RTB129" s="18"/>
      <c r="RTC129" s="18"/>
      <c r="RTD129" s="18"/>
      <c r="RTE129" s="18"/>
      <c r="RTF129" s="18"/>
      <c r="RTG129" s="18"/>
      <c r="RTH129" s="18"/>
      <c r="RTI129" s="18"/>
      <c r="RTJ129" s="18"/>
      <c r="RTK129" s="18"/>
      <c r="RTL129" s="18"/>
      <c r="RTM129" s="18"/>
      <c r="RTN129" s="18"/>
      <c r="RTO129" s="18"/>
      <c r="RTP129" s="18"/>
      <c r="RTQ129" s="18"/>
      <c r="RTR129" s="18"/>
      <c r="RTS129" s="18"/>
      <c r="RTT129" s="18"/>
      <c r="RTU129" s="18"/>
      <c r="RTV129" s="18"/>
      <c r="RTW129" s="18"/>
      <c r="RTX129" s="18"/>
      <c r="RTY129" s="18"/>
      <c r="RTZ129" s="18"/>
      <c r="RUA129" s="18"/>
      <c r="RUB129" s="18"/>
      <c r="RUC129" s="18"/>
      <c r="RUD129" s="18"/>
      <c r="RUE129" s="18"/>
      <c r="RUF129" s="18"/>
      <c r="RUG129" s="18"/>
      <c r="RUH129" s="18"/>
      <c r="RUI129" s="18"/>
      <c r="RUJ129" s="18"/>
      <c r="RUK129" s="18"/>
      <c r="RUL129" s="18"/>
      <c r="RUM129" s="18"/>
      <c r="RUN129" s="18"/>
      <c r="RUO129" s="18"/>
      <c r="RUP129" s="18"/>
      <c r="RUQ129" s="18"/>
      <c r="RUR129" s="18"/>
      <c r="RUS129" s="18"/>
      <c r="RUT129" s="18"/>
      <c r="RUU129" s="18"/>
      <c r="RUV129" s="18"/>
      <c r="RUW129" s="18"/>
      <c r="RUX129" s="18"/>
      <c r="RUY129" s="18"/>
      <c r="RUZ129" s="18"/>
      <c r="RVA129" s="18"/>
      <c r="RVB129" s="18"/>
      <c r="RVC129" s="18"/>
      <c r="RVD129" s="18"/>
      <c r="RVE129" s="18"/>
      <c r="RVF129" s="18"/>
      <c r="RVG129" s="18"/>
      <c r="RVH129" s="18"/>
      <c r="RVI129" s="18"/>
      <c r="RVJ129" s="18"/>
      <c r="RVK129" s="18"/>
      <c r="RVL129" s="18"/>
      <c r="RVM129" s="18"/>
      <c r="RVN129" s="18"/>
      <c r="RVO129" s="18"/>
      <c r="RVP129" s="18"/>
      <c r="RVQ129" s="18"/>
      <c r="RVR129" s="18"/>
      <c r="RVS129" s="18"/>
      <c r="RVT129" s="18"/>
      <c r="RVU129" s="18"/>
      <c r="RVV129" s="18"/>
      <c r="RVW129" s="18"/>
      <c r="RVX129" s="18"/>
      <c r="RVY129" s="18"/>
      <c r="RVZ129" s="18"/>
      <c r="RWA129" s="18"/>
      <c r="RWB129" s="18"/>
      <c r="RWC129" s="18"/>
      <c r="RWD129" s="18"/>
      <c r="RWE129" s="18"/>
      <c r="RWF129" s="18"/>
      <c r="RWG129" s="18"/>
      <c r="RWH129" s="18"/>
      <c r="RWI129" s="18"/>
      <c r="RWJ129" s="18"/>
      <c r="RWK129" s="18"/>
      <c r="RWL129" s="18"/>
      <c r="RWM129" s="18"/>
      <c r="RWN129" s="18"/>
      <c r="RWO129" s="18"/>
      <c r="RWP129" s="18"/>
      <c r="RWQ129" s="18"/>
      <c r="RWR129" s="18"/>
      <c r="RWS129" s="18"/>
      <c r="RWT129" s="18"/>
      <c r="RWU129" s="18"/>
      <c r="RWV129" s="18"/>
      <c r="RWW129" s="18"/>
      <c r="RWX129" s="18"/>
      <c r="RWY129" s="18"/>
      <c r="RWZ129" s="18"/>
      <c r="RXA129" s="18"/>
      <c r="RXB129" s="18"/>
      <c r="RXC129" s="18"/>
      <c r="RXD129" s="18"/>
      <c r="RXE129" s="18"/>
      <c r="RXF129" s="18"/>
      <c r="RXG129" s="18"/>
      <c r="RXH129" s="18"/>
      <c r="RXI129" s="18"/>
      <c r="RXJ129" s="18"/>
      <c r="RXK129" s="18"/>
      <c r="RXL129" s="18"/>
      <c r="RXM129" s="18"/>
      <c r="RXN129" s="18"/>
      <c r="RXO129" s="18"/>
      <c r="RXP129" s="18"/>
      <c r="RXQ129" s="18"/>
      <c r="RXR129" s="18"/>
      <c r="RXS129" s="18"/>
      <c r="RXT129" s="18"/>
      <c r="RXU129" s="18"/>
      <c r="RXV129" s="18"/>
      <c r="RXW129" s="18"/>
      <c r="RXX129" s="18"/>
      <c r="RXY129" s="18"/>
      <c r="RXZ129" s="18"/>
      <c r="RYA129" s="18"/>
      <c r="RYB129" s="18"/>
      <c r="RYC129" s="18"/>
      <c r="RYD129" s="18"/>
      <c r="RYE129" s="18"/>
      <c r="RYF129" s="18"/>
      <c r="RYG129" s="18"/>
      <c r="RYH129" s="18"/>
      <c r="RYI129" s="18"/>
      <c r="RYJ129" s="18"/>
      <c r="RYK129" s="18"/>
      <c r="RYL129" s="18"/>
      <c r="RYM129" s="18"/>
      <c r="RYN129" s="18"/>
      <c r="RYO129" s="18"/>
      <c r="RYP129" s="18"/>
      <c r="RYQ129" s="18"/>
      <c r="RYR129" s="18"/>
      <c r="RYS129" s="18"/>
      <c r="RYT129" s="18"/>
      <c r="RYU129" s="18"/>
      <c r="RYV129" s="18"/>
      <c r="RYW129" s="18"/>
      <c r="RYX129" s="18"/>
      <c r="RYY129" s="18"/>
      <c r="RYZ129" s="18"/>
      <c r="RZA129" s="18"/>
      <c r="RZB129" s="18"/>
      <c r="RZC129" s="18"/>
      <c r="RZD129" s="18"/>
      <c r="RZE129" s="18"/>
      <c r="RZF129" s="18"/>
      <c r="RZG129" s="18"/>
      <c r="RZH129" s="18"/>
      <c r="RZI129" s="18"/>
      <c r="RZJ129" s="18"/>
      <c r="RZK129" s="18"/>
      <c r="RZL129" s="18"/>
      <c r="RZM129" s="18"/>
      <c r="RZN129" s="18"/>
      <c r="RZO129" s="18"/>
      <c r="RZP129" s="18"/>
      <c r="RZQ129" s="18"/>
      <c r="RZR129" s="18"/>
      <c r="RZS129" s="18"/>
      <c r="RZT129" s="18"/>
      <c r="RZU129" s="18"/>
      <c r="RZV129" s="18"/>
      <c r="RZW129" s="18"/>
      <c r="RZX129" s="18"/>
      <c r="RZY129" s="18"/>
      <c r="RZZ129" s="18"/>
      <c r="SAA129" s="18"/>
      <c r="SAB129" s="18"/>
      <c r="SAC129" s="18"/>
      <c r="SAD129" s="18"/>
      <c r="SAE129" s="18"/>
      <c r="SAF129" s="18"/>
      <c r="SAG129" s="18"/>
      <c r="SAH129" s="18"/>
      <c r="SAI129" s="18"/>
      <c r="SAJ129" s="18"/>
      <c r="SAK129" s="18"/>
      <c r="SAL129" s="18"/>
      <c r="SAM129" s="18"/>
      <c r="SAN129" s="18"/>
      <c r="SAO129" s="18"/>
      <c r="SAP129" s="18"/>
      <c r="SAQ129" s="18"/>
      <c r="SAR129" s="18"/>
      <c r="SAS129" s="18"/>
      <c r="SAT129" s="18"/>
      <c r="SAU129" s="18"/>
      <c r="SAV129" s="18"/>
      <c r="SAW129" s="18"/>
      <c r="SAX129" s="18"/>
      <c r="SAY129" s="18"/>
      <c r="SAZ129" s="18"/>
      <c r="SBA129" s="18"/>
      <c r="SBB129" s="18"/>
      <c r="SBC129" s="18"/>
      <c r="SBD129" s="18"/>
      <c r="SBE129" s="18"/>
      <c r="SBF129" s="18"/>
      <c r="SBG129" s="18"/>
      <c r="SBH129" s="18"/>
      <c r="SBI129" s="18"/>
      <c r="SBJ129" s="18"/>
      <c r="SBK129" s="18"/>
      <c r="SBL129" s="18"/>
      <c r="SBM129" s="18"/>
      <c r="SBN129" s="18"/>
      <c r="SBO129" s="18"/>
      <c r="SBP129" s="18"/>
      <c r="SBQ129" s="18"/>
      <c r="SBR129" s="18"/>
      <c r="SBS129" s="18"/>
      <c r="SBT129" s="18"/>
      <c r="SBU129" s="18"/>
      <c r="SBV129" s="18"/>
      <c r="SBW129" s="18"/>
      <c r="SBX129" s="18"/>
      <c r="SBY129" s="18"/>
      <c r="SBZ129" s="18"/>
      <c r="SCA129" s="18"/>
      <c r="SCB129" s="18"/>
      <c r="SCC129" s="18"/>
      <c r="SCD129" s="18"/>
      <c r="SCE129" s="18"/>
      <c r="SCF129" s="18"/>
      <c r="SCG129" s="18"/>
      <c r="SCH129" s="18"/>
      <c r="SCI129" s="18"/>
      <c r="SCJ129" s="18"/>
      <c r="SCK129" s="18"/>
      <c r="SCL129" s="18"/>
      <c r="SCM129" s="18"/>
      <c r="SCN129" s="18"/>
      <c r="SCO129" s="18"/>
      <c r="SCP129" s="18"/>
      <c r="SCQ129" s="18"/>
      <c r="SCR129" s="18"/>
      <c r="SCS129" s="18"/>
      <c r="SCT129" s="18"/>
      <c r="SCU129" s="18"/>
      <c r="SCV129" s="18"/>
      <c r="SCW129" s="18"/>
      <c r="SCX129" s="18"/>
      <c r="SCY129" s="18"/>
      <c r="SCZ129" s="18"/>
      <c r="SDA129" s="18"/>
      <c r="SDB129" s="18"/>
      <c r="SDC129" s="18"/>
      <c r="SDD129" s="18"/>
      <c r="SDE129" s="18"/>
      <c r="SDF129" s="18"/>
      <c r="SDG129" s="18"/>
      <c r="SDH129" s="18"/>
      <c r="SDI129" s="18"/>
      <c r="SDJ129" s="18"/>
      <c r="SDK129" s="18"/>
      <c r="SDL129" s="18"/>
      <c r="SDM129" s="18"/>
      <c r="SDN129" s="18"/>
      <c r="SDO129" s="18"/>
      <c r="SDP129" s="18"/>
      <c r="SDQ129" s="18"/>
      <c r="SDR129" s="18"/>
      <c r="SDS129" s="18"/>
      <c r="SDT129" s="18"/>
      <c r="SDU129" s="18"/>
      <c r="SDV129" s="18"/>
      <c r="SDW129" s="18"/>
      <c r="SDX129" s="18"/>
      <c r="SDY129" s="18"/>
      <c r="SDZ129" s="18"/>
      <c r="SEA129" s="18"/>
      <c r="SEB129" s="18"/>
      <c r="SEC129" s="18"/>
      <c r="SED129" s="18"/>
      <c r="SEE129" s="18"/>
      <c r="SEF129" s="18"/>
      <c r="SEG129" s="18"/>
      <c r="SEH129" s="18"/>
      <c r="SEI129" s="18"/>
      <c r="SEJ129" s="18"/>
      <c r="SEK129" s="18"/>
      <c r="SEL129" s="18"/>
      <c r="SEM129" s="18"/>
      <c r="SEN129" s="18"/>
      <c r="SEO129" s="18"/>
      <c r="SEP129" s="18"/>
      <c r="SEQ129" s="18"/>
      <c r="SER129" s="18"/>
      <c r="SES129" s="18"/>
      <c r="SET129" s="18"/>
      <c r="SEU129" s="18"/>
      <c r="SEV129" s="18"/>
      <c r="SEW129" s="18"/>
      <c r="SEX129" s="18"/>
      <c r="SEY129" s="18"/>
      <c r="SEZ129" s="18"/>
      <c r="SFA129" s="18"/>
      <c r="SFB129" s="18"/>
      <c r="SFC129" s="18"/>
      <c r="SFD129" s="18"/>
      <c r="SFE129" s="18"/>
      <c r="SFF129" s="18"/>
      <c r="SFG129" s="18"/>
      <c r="SFH129" s="18"/>
      <c r="SFI129" s="18"/>
      <c r="SFJ129" s="18"/>
      <c r="SFK129" s="18"/>
      <c r="SFL129" s="18"/>
      <c r="SFM129" s="18"/>
      <c r="SFN129" s="18"/>
      <c r="SFO129" s="18"/>
      <c r="SFP129" s="18"/>
      <c r="SFQ129" s="18"/>
      <c r="SFR129" s="18"/>
      <c r="SFS129" s="18"/>
      <c r="SFT129" s="18"/>
      <c r="SFU129" s="18"/>
      <c r="SFV129" s="18"/>
      <c r="SFW129" s="18"/>
      <c r="SFX129" s="18"/>
      <c r="SFY129" s="18"/>
      <c r="SFZ129" s="18"/>
      <c r="SGA129" s="18"/>
      <c r="SGB129" s="18"/>
      <c r="SGC129" s="18"/>
      <c r="SGD129" s="18"/>
      <c r="SGE129" s="18"/>
      <c r="SGF129" s="18"/>
      <c r="SGG129" s="18"/>
      <c r="SGH129" s="18"/>
      <c r="SGI129" s="18"/>
      <c r="SGJ129" s="18"/>
      <c r="SGK129" s="18"/>
      <c r="SGL129" s="18"/>
      <c r="SGM129" s="18"/>
      <c r="SGN129" s="18"/>
      <c r="SGO129" s="18"/>
      <c r="SGP129" s="18"/>
      <c r="SGQ129" s="18"/>
      <c r="SGR129" s="18"/>
      <c r="SGS129" s="18"/>
      <c r="SGT129" s="18"/>
      <c r="SGU129" s="18"/>
      <c r="SGV129" s="18"/>
      <c r="SGW129" s="18"/>
      <c r="SGX129" s="18"/>
      <c r="SGY129" s="18"/>
      <c r="SGZ129" s="18"/>
      <c r="SHA129" s="18"/>
      <c r="SHB129" s="18"/>
      <c r="SHC129" s="18"/>
      <c r="SHD129" s="18"/>
      <c r="SHE129" s="18"/>
      <c r="SHF129" s="18"/>
      <c r="SHG129" s="18"/>
      <c r="SHH129" s="18"/>
      <c r="SHI129" s="18"/>
      <c r="SHJ129" s="18"/>
      <c r="SHK129" s="18"/>
      <c r="SHL129" s="18"/>
      <c r="SHM129" s="18"/>
      <c r="SHN129" s="18"/>
      <c r="SHO129" s="18"/>
      <c r="SHP129" s="18"/>
      <c r="SHQ129" s="18"/>
      <c r="SHR129" s="18"/>
      <c r="SHS129" s="18"/>
      <c r="SHT129" s="18"/>
      <c r="SHU129" s="18"/>
      <c r="SHV129" s="18"/>
      <c r="SHW129" s="18"/>
      <c r="SHX129" s="18"/>
      <c r="SHY129" s="18"/>
      <c r="SHZ129" s="18"/>
      <c r="SIA129" s="18"/>
      <c r="SIB129" s="18"/>
      <c r="SIC129" s="18"/>
      <c r="SID129" s="18"/>
      <c r="SIE129" s="18"/>
      <c r="SIF129" s="18"/>
      <c r="SIG129" s="18"/>
      <c r="SIH129" s="18"/>
      <c r="SII129" s="18"/>
      <c r="SIJ129" s="18"/>
      <c r="SIK129" s="18"/>
      <c r="SIL129" s="18"/>
      <c r="SIM129" s="18"/>
      <c r="SIN129" s="18"/>
      <c r="SIO129" s="18"/>
      <c r="SIP129" s="18"/>
      <c r="SIQ129" s="18"/>
      <c r="SIR129" s="18"/>
      <c r="SIS129" s="18"/>
      <c r="SIT129" s="18"/>
      <c r="SIU129" s="18"/>
      <c r="SIV129" s="18"/>
      <c r="SIW129" s="18"/>
      <c r="SIX129" s="18"/>
      <c r="SIY129" s="18"/>
      <c r="SIZ129" s="18"/>
      <c r="SJA129" s="18"/>
      <c r="SJB129" s="18"/>
      <c r="SJC129" s="18"/>
      <c r="SJD129" s="18"/>
      <c r="SJE129" s="18"/>
      <c r="SJF129" s="18"/>
      <c r="SJG129" s="18"/>
      <c r="SJH129" s="18"/>
      <c r="SJI129" s="18"/>
      <c r="SJJ129" s="18"/>
      <c r="SJK129" s="18"/>
      <c r="SJL129" s="18"/>
      <c r="SJM129" s="18"/>
      <c r="SJN129" s="18"/>
      <c r="SJO129" s="18"/>
      <c r="SJP129" s="18"/>
      <c r="SJQ129" s="18"/>
      <c r="SJR129" s="18"/>
      <c r="SJS129" s="18"/>
      <c r="SJT129" s="18"/>
      <c r="SJU129" s="18"/>
      <c r="SJV129" s="18"/>
      <c r="SJW129" s="18"/>
      <c r="SJX129" s="18"/>
      <c r="SJY129" s="18"/>
      <c r="SJZ129" s="18"/>
      <c r="SKA129" s="18"/>
      <c r="SKB129" s="18"/>
      <c r="SKC129" s="18"/>
      <c r="SKD129" s="18"/>
      <c r="SKE129" s="18"/>
      <c r="SKF129" s="18"/>
      <c r="SKG129" s="18"/>
      <c r="SKH129" s="18"/>
      <c r="SKI129" s="18"/>
      <c r="SKJ129" s="18"/>
      <c r="SKK129" s="18"/>
      <c r="SKL129" s="18"/>
      <c r="SKM129" s="18"/>
      <c r="SKN129" s="18"/>
      <c r="SKO129" s="18"/>
      <c r="SKP129" s="18"/>
      <c r="SKQ129" s="18"/>
      <c r="SKR129" s="18"/>
      <c r="SKS129" s="18"/>
      <c r="SKT129" s="18"/>
      <c r="SKU129" s="18"/>
      <c r="SKV129" s="18"/>
      <c r="SKW129" s="18"/>
      <c r="SKX129" s="18"/>
      <c r="SKY129" s="18"/>
      <c r="SKZ129" s="18"/>
      <c r="SLA129" s="18"/>
      <c r="SLB129" s="18"/>
      <c r="SLC129" s="18"/>
      <c r="SLD129" s="18"/>
      <c r="SLE129" s="18"/>
      <c r="SLF129" s="18"/>
      <c r="SLG129" s="18"/>
      <c r="SLH129" s="18"/>
      <c r="SLI129" s="18"/>
      <c r="SLJ129" s="18"/>
      <c r="SLK129" s="18"/>
      <c r="SLL129" s="18"/>
      <c r="SLM129" s="18"/>
      <c r="SLN129" s="18"/>
      <c r="SLO129" s="18"/>
      <c r="SLP129" s="18"/>
      <c r="SLQ129" s="18"/>
      <c r="SLR129" s="18"/>
      <c r="SLS129" s="18"/>
      <c r="SLT129" s="18"/>
      <c r="SLU129" s="18"/>
      <c r="SLV129" s="18"/>
      <c r="SLW129" s="18"/>
      <c r="SLX129" s="18"/>
      <c r="SLY129" s="18"/>
      <c r="SLZ129" s="18"/>
      <c r="SMA129" s="18"/>
      <c r="SMB129" s="18"/>
      <c r="SMC129" s="18"/>
      <c r="SMD129" s="18"/>
      <c r="SME129" s="18"/>
      <c r="SMF129" s="18"/>
      <c r="SMG129" s="18"/>
      <c r="SMH129" s="18"/>
      <c r="SMI129" s="18"/>
      <c r="SMJ129" s="18"/>
      <c r="SMK129" s="18"/>
      <c r="SML129" s="18"/>
      <c r="SMM129" s="18"/>
      <c r="SMN129" s="18"/>
      <c r="SMO129" s="18"/>
      <c r="SMP129" s="18"/>
      <c r="SMQ129" s="18"/>
      <c r="SMR129" s="18"/>
      <c r="SMS129" s="18"/>
      <c r="SMT129" s="18"/>
      <c r="SMU129" s="18"/>
      <c r="SMV129" s="18"/>
      <c r="SMW129" s="18"/>
      <c r="SMX129" s="18"/>
      <c r="SMY129" s="18"/>
      <c r="SMZ129" s="18"/>
      <c r="SNA129" s="18"/>
      <c r="SNB129" s="18"/>
      <c r="SNC129" s="18"/>
      <c r="SND129" s="18"/>
      <c r="SNE129" s="18"/>
      <c r="SNF129" s="18"/>
      <c r="SNG129" s="18"/>
      <c r="SNH129" s="18"/>
      <c r="SNI129" s="18"/>
      <c r="SNJ129" s="18"/>
      <c r="SNK129" s="18"/>
      <c r="SNL129" s="18"/>
      <c r="SNM129" s="18"/>
      <c r="SNN129" s="18"/>
      <c r="SNO129" s="18"/>
      <c r="SNP129" s="18"/>
      <c r="SNQ129" s="18"/>
      <c r="SNR129" s="18"/>
      <c r="SNS129" s="18"/>
      <c r="SNT129" s="18"/>
      <c r="SNU129" s="18"/>
      <c r="SNV129" s="18"/>
      <c r="SNW129" s="18"/>
      <c r="SNX129" s="18"/>
      <c r="SNY129" s="18"/>
      <c r="SNZ129" s="18"/>
      <c r="SOA129" s="18"/>
      <c r="SOB129" s="18"/>
      <c r="SOC129" s="18"/>
      <c r="SOD129" s="18"/>
      <c r="SOE129" s="18"/>
      <c r="SOF129" s="18"/>
      <c r="SOG129" s="18"/>
      <c r="SOH129" s="18"/>
      <c r="SOI129" s="18"/>
      <c r="SOJ129" s="18"/>
      <c r="SOK129" s="18"/>
      <c r="SOL129" s="18"/>
      <c r="SOM129" s="18"/>
      <c r="SON129" s="18"/>
      <c r="SOO129" s="18"/>
      <c r="SOP129" s="18"/>
      <c r="SOQ129" s="18"/>
      <c r="SOR129" s="18"/>
      <c r="SOS129" s="18"/>
      <c r="SOT129" s="18"/>
      <c r="SOU129" s="18"/>
      <c r="SOV129" s="18"/>
      <c r="SOW129" s="18"/>
      <c r="SOX129" s="18"/>
      <c r="SOY129" s="18"/>
      <c r="SOZ129" s="18"/>
      <c r="SPA129" s="18"/>
      <c r="SPB129" s="18"/>
      <c r="SPC129" s="18"/>
      <c r="SPD129" s="18"/>
      <c r="SPE129" s="18"/>
      <c r="SPF129" s="18"/>
      <c r="SPG129" s="18"/>
      <c r="SPH129" s="18"/>
      <c r="SPI129" s="18"/>
      <c r="SPJ129" s="18"/>
      <c r="SPK129" s="18"/>
      <c r="SPL129" s="18"/>
      <c r="SPM129" s="18"/>
      <c r="SPN129" s="18"/>
      <c r="SPO129" s="18"/>
      <c r="SPP129" s="18"/>
      <c r="SPQ129" s="18"/>
      <c r="SPR129" s="18"/>
      <c r="SPS129" s="18"/>
      <c r="SPT129" s="18"/>
      <c r="SPU129" s="18"/>
      <c r="SPV129" s="18"/>
      <c r="SPW129" s="18"/>
      <c r="SPX129" s="18"/>
      <c r="SPY129" s="18"/>
      <c r="SPZ129" s="18"/>
      <c r="SQA129" s="18"/>
      <c r="SQB129" s="18"/>
      <c r="SQC129" s="18"/>
      <c r="SQD129" s="18"/>
      <c r="SQE129" s="18"/>
      <c r="SQF129" s="18"/>
      <c r="SQG129" s="18"/>
      <c r="SQH129" s="18"/>
      <c r="SQI129" s="18"/>
      <c r="SQJ129" s="18"/>
      <c r="SQK129" s="18"/>
      <c r="SQL129" s="18"/>
      <c r="SQM129" s="18"/>
      <c r="SQN129" s="18"/>
      <c r="SQO129" s="18"/>
      <c r="SQP129" s="18"/>
      <c r="SQQ129" s="18"/>
      <c r="SQR129" s="18"/>
      <c r="SQS129" s="18"/>
      <c r="SQT129" s="18"/>
      <c r="SQU129" s="18"/>
      <c r="SQV129" s="18"/>
      <c r="SQW129" s="18"/>
      <c r="SQX129" s="18"/>
      <c r="SQY129" s="18"/>
      <c r="SQZ129" s="18"/>
      <c r="SRA129" s="18"/>
      <c r="SRB129" s="18"/>
      <c r="SRC129" s="18"/>
      <c r="SRD129" s="18"/>
      <c r="SRE129" s="18"/>
      <c r="SRF129" s="18"/>
      <c r="SRG129" s="18"/>
      <c r="SRH129" s="18"/>
      <c r="SRI129" s="18"/>
      <c r="SRJ129" s="18"/>
      <c r="SRK129" s="18"/>
      <c r="SRL129" s="18"/>
      <c r="SRM129" s="18"/>
      <c r="SRN129" s="18"/>
      <c r="SRO129" s="18"/>
      <c r="SRP129" s="18"/>
      <c r="SRQ129" s="18"/>
      <c r="SRR129" s="18"/>
      <c r="SRS129" s="18"/>
      <c r="SRT129" s="18"/>
      <c r="SRU129" s="18"/>
      <c r="SRV129" s="18"/>
      <c r="SRW129" s="18"/>
      <c r="SRX129" s="18"/>
      <c r="SRY129" s="18"/>
      <c r="SRZ129" s="18"/>
      <c r="SSA129" s="18"/>
      <c r="SSB129" s="18"/>
      <c r="SSC129" s="18"/>
      <c r="SSD129" s="18"/>
      <c r="SSE129" s="18"/>
      <c r="SSF129" s="18"/>
      <c r="SSG129" s="18"/>
      <c r="SSH129" s="18"/>
      <c r="SSI129" s="18"/>
      <c r="SSJ129" s="18"/>
      <c r="SSK129" s="18"/>
      <c r="SSL129" s="18"/>
      <c r="SSM129" s="18"/>
      <c r="SSN129" s="18"/>
      <c r="SSO129" s="18"/>
      <c r="SSP129" s="18"/>
      <c r="SSQ129" s="18"/>
      <c r="SSR129" s="18"/>
      <c r="SSS129" s="18"/>
      <c r="SST129" s="18"/>
      <c r="SSU129" s="18"/>
      <c r="SSV129" s="18"/>
      <c r="SSW129" s="18"/>
      <c r="SSX129" s="18"/>
      <c r="SSY129" s="18"/>
      <c r="SSZ129" s="18"/>
      <c r="STA129" s="18"/>
      <c r="STB129" s="18"/>
      <c r="STC129" s="18"/>
      <c r="STD129" s="18"/>
      <c r="STE129" s="18"/>
      <c r="STF129" s="18"/>
      <c r="STG129" s="18"/>
      <c r="STH129" s="18"/>
      <c r="STI129" s="18"/>
      <c r="STJ129" s="18"/>
      <c r="STK129" s="18"/>
      <c r="STL129" s="18"/>
      <c r="STM129" s="18"/>
      <c r="STN129" s="18"/>
      <c r="STO129" s="18"/>
      <c r="STP129" s="18"/>
      <c r="STQ129" s="18"/>
      <c r="STR129" s="18"/>
      <c r="STS129" s="18"/>
      <c r="STT129" s="18"/>
      <c r="STU129" s="18"/>
      <c r="STV129" s="18"/>
      <c r="STW129" s="18"/>
      <c r="STX129" s="18"/>
      <c r="STY129" s="18"/>
      <c r="STZ129" s="18"/>
      <c r="SUA129" s="18"/>
      <c r="SUB129" s="18"/>
      <c r="SUC129" s="18"/>
      <c r="SUD129" s="18"/>
      <c r="SUE129" s="18"/>
      <c r="SUF129" s="18"/>
      <c r="SUG129" s="18"/>
      <c r="SUH129" s="18"/>
      <c r="SUI129" s="18"/>
      <c r="SUJ129" s="18"/>
      <c r="SUK129" s="18"/>
      <c r="SUL129" s="18"/>
      <c r="SUM129" s="18"/>
      <c r="SUN129" s="18"/>
      <c r="SUO129" s="18"/>
      <c r="SUP129" s="18"/>
      <c r="SUQ129" s="18"/>
      <c r="SUR129" s="18"/>
      <c r="SUS129" s="18"/>
      <c r="SUT129" s="18"/>
      <c r="SUU129" s="18"/>
      <c r="SUV129" s="18"/>
      <c r="SUW129" s="18"/>
      <c r="SUX129" s="18"/>
      <c r="SUY129" s="18"/>
      <c r="SUZ129" s="18"/>
      <c r="SVA129" s="18"/>
      <c r="SVB129" s="18"/>
      <c r="SVC129" s="18"/>
      <c r="SVD129" s="18"/>
      <c r="SVE129" s="18"/>
      <c r="SVF129" s="18"/>
      <c r="SVG129" s="18"/>
      <c r="SVH129" s="18"/>
      <c r="SVI129" s="18"/>
      <c r="SVJ129" s="18"/>
      <c r="SVK129" s="18"/>
      <c r="SVL129" s="18"/>
      <c r="SVM129" s="18"/>
      <c r="SVN129" s="18"/>
      <c r="SVO129" s="18"/>
      <c r="SVP129" s="18"/>
      <c r="SVQ129" s="18"/>
      <c r="SVR129" s="18"/>
      <c r="SVS129" s="18"/>
      <c r="SVT129" s="18"/>
      <c r="SVU129" s="18"/>
      <c r="SVV129" s="18"/>
      <c r="SVW129" s="18"/>
      <c r="SVX129" s="18"/>
      <c r="SVY129" s="18"/>
      <c r="SVZ129" s="18"/>
      <c r="SWA129" s="18"/>
      <c r="SWB129" s="18"/>
      <c r="SWC129" s="18"/>
      <c r="SWD129" s="18"/>
      <c r="SWE129" s="18"/>
      <c r="SWF129" s="18"/>
      <c r="SWG129" s="18"/>
      <c r="SWH129" s="18"/>
      <c r="SWI129" s="18"/>
      <c r="SWJ129" s="18"/>
      <c r="SWK129" s="18"/>
      <c r="SWL129" s="18"/>
      <c r="SWM129" s="18"/>
      <c r="SWN129" s="18"/>
      <c r="SWO129" s="18"/>
      <c r="SWP129" s="18"/>
      <c r="SWQ129" s="18"/>
      <c r="SWR129" s="18"/>
      <c r="SWS129" s="18"/>
      <c r="SWT129" s="18"/>
      <c r="SWU129" s="18"/>
      <c r="SWV129" s="18"/>
      <c r="SWW129" s="18"/>
      <c r="SWX129" s="18"/>
      <c r="SWY129" s="18"/>
      <c r="SWZ129" s="18"/>
      <c r="SXA129" s="18"/>
      <c r="SXB129" s="18"/>
      <c r="SXC129" s="18"/>
      <c r="SXD129" s="18"/>
      <c r="SXE129" s="18"/>
      <c r="SXF129" s="18"/>
      <c r="SXG129" s="18"/>
      <c r="SXH129" s="18"/>
      <c r="SXI129" s="18"/>
      <c r="SXJ129" s="18"/>
      <c r="SXK129" s="18"/>
      <c r="SXL129" s="18"/>
      <c r="SXM129" s="18"/>
      <c r="SXN129" s="18"/>
      <c r="SXO129" s="18"/>
      <c r="SXP129" s="18"/>
      <c r="SXQ129" s="18"/>
      <c r="SXR129" s="18"/>
      <c r="SXS129" s="18"/>
      <c r="SXT129" s="18"/>
      <c r="SXU129" s="18"/>
      <c r="SXV129" s="18"/>
      <c r="SXW129" s="18"/>
      <c r="SXX129" s="18"/>
      <c r="SXY129" s="18"/>
      <c r="SXZ129" s="18"/>
      <c r="SYA129" s="18"/>
      <c r="SYB129" s="18"/>
      <c r="SYC129" s="18"/>
      <c r="SYD129" s="18"/>
      <c r="SYE129" s="18"/>
      <c r="SYF129" s="18"/>
      <c r="SYG129" s="18"/>
      <c r="SYH129" s="18"/>
      <c r="SYI129" s="18"/>
      <c r="SYJ129" s="18"/>
      <c r="SYK129" s="18"/>
      <c r="SYL129" s="18"/>
      <c r="SYM129" s="18"/>
      <c r="SYN129" s="18"/>
      <c r="SYO129" s="18"/>
      <c r="SYP129" s="18"/>
      <c r="SYQ129" s="18"/>
      <c r="SYR129" s="18"/>
      <c r="SYS129" s="18"/>
      <c r="SYT129" s="18"/>
      <c r="SYU129" s="18"/>
      <c r="SYV129" s="18"/>
      <c r="SYW129" s="18"/>
      <c r="SYX129" s="18"/>
      <c r="SYY129" s="18"/>
      <c r="SYZ129" s="18"/>
      <c r="SZA129" s="18"/>
      <c r="SZB129" s="18"/>
      <c r="SZC129" s="18"/>
      <c r="SZD129" s="18"/>
      <c r="SZE129" s="18"/>
      <c r="SZF129" s="18"/>
      <c r="SZG129" s="18"/>
      <c r="SZH129" s="18"/>
      <c r="SZI129" s="18"/>
      <c r="SZJ129" s="18"/>
      <c r="SZK129" s="18"/>
      <c r="SZL129" s="18"/>
      <c r="SZM129" s="18"/>
      <c r="SZN129" s="18"/>
      <c r="SZO129" s="18"/>
      <c r="SZP129" s="18"/>
      <c r="SZQ129" s="18"/>
      <c r="SZR129" s="18"/>
      <c r="SZS129" s="18"/>
      <c r="SZT129" s="18"/>
      <c r="SZU129" s="18"/>
      <c r="SZV129" s="18"/>
      <c r="SZW129" s="18"/>
      <c r="SZX129" s="18"/>
      <c r="SZY129" s="18"/>
      <c r="SZZ129" s="18"/>
      <c r="TAA129" s="18"/>
      <c r="TAB129" s="18"/>
      <c r="TAC129" s="18"/>
      <c r="TAD129" s="18"/>
      <c r="TAE129" s="18"/>
      <c r="TAF129" s="18"/>
      <c r="TAG129" s="18"/>
      <c r="TAH129" s="18"/>
      <c r="TAI129" s="18"/>
      <c r="TAJ129" s="18"/>
      <c r="TAK129" s="18"/>
      <c r="TAL129" s="18"/>
      <c r="TAM129" s="18"/>
      <c r="TAN129" s="18"/>
      <c r="TAO129" s="18"/>
      <c r="TAP129" s="18"/>
      <c r="TAQ129" s="18"/>
      <c r="TAR129" s="18"/>
      <c r="TAS129" s="18"/>
      <c r="TAT129" s="18"/>
      <c r="TAU129" s="18"/>
      <c r="TAV129" s="18"/>
      <c r="TAW129" s="18"/>
      <c r="TAX129" s="18"/>
      <c r="TAY129" s="18"/>
      <c r="TAZ129" s="18"/>
      <c r="TBA129" s="18"/>
      <c r="TBB129" s="18"/>
      <c r="TBC129" s="18"/>
      <c r="TBD129" s="18"/>
      <c r="TBE129" s="18"/>
      <c r="TBF129" s="18"/>
      <c r="TBG129" s="18"/>
      <c r="TBH129" s="18"/>
      <c r="TBI129" s="18"/>
      <c r="TBJ129" s="18"/>
      <c r="TBK129" s="18"/>
      <c r="TBL129" s="18"/>
      <c r="TBM129" s="18"/>
      <c r="TBN129" s="18"/>
      <c r="TBO129" s="18"/>
      <c r="TBP129" s="18"/>
      <c r="TBQ129" s="18"/>
      <c r="TBR129" s="18"/>
      <c r="TBS129" s="18"/>
      <c r="TBT129" s="18"/>
      <c r="TBU129" s="18"/>
      <c r="TBV129" s="18"/>
      <c r="TBW129" s="18"/>
      <c r="TBX129" s="18"/>
      <c r="TBY129" s="18"/>
      <c r="TBZ129" s="18"/>
      <c r="TCA129" s="18"/>
      <c r="TCB129" s="18"/>
      <c r="TCC129" s="18"/>
      <c r="TCD129" s="18"/>
      <c r="TCE129" s="18"/>
      <c r="TCF129" s="18"/>
      <c r="TCG129" s="18"/>
      <c r="TCH129" s="18"/>
      <c r="TCI129" s="18"/>
      <c r="TCJ129" s="18"/>
      <c r="TCK129" s="18"/>
      <c r="TCL129" s="18"/>
      <c r="TCM129" s="18"/>
      <c r="TCN129" s="18"/>
      <c r="TCO129" s="18"/>
      <c r="TCP129" s="18"/>
      <c r="TCQ129" s="18"/>
      <c r="TCR129" s="18"/>
      <c r="TCS129" s="18"/>
      <c r="TCT129" s="18"/>
      <c r="TCU129" s="18"/>
      <c r="TCV129" s="18"/>
      <c r="TCW129" s="18"/>
      <c r="TCX129" s="18"/>
      <c r="TCY129" s="18"/>
      <c r="TCZ129" s="18"/>
      <c r="TDA129" s="18"/>
      <c r="TDB129" s="18"/>
      <c r="TDC129" s="18"/>
      <c r="TDD129" s="18"/>
      <c r="TDE129" s="18"/>
      <c r="TDF129" s="18"/>
      <c r="TDG129" s="18"/>
      <c r="TDH129" s="18"/>
      <c r="TDI129" s="18"/>
      <c r="TDJ129" s="18"/>
      <c r="TDK129" s="18"/>
      <c r="TDL129" s="18"/>
      <c r="TDM129" s="18"/>
      <c r="TDN129" s="18"/>
      <c r="TDO129" s="18"/>
      <c r="TDP129" s="18"/>
      <c r="TDQ129" s="18"/>
      <c r="TDR129" s="18"/>
      <c r="TDS129" s="18"/>
      <c r="TDT129" s="18"/>
      <c r="TDU129" s="18"/>
      <c r="TDV129" s="18"/>
      <c r="TDW129" s="18"/>
      <c r="TDX129" s="18"/>
      <c r="TDY129" s="18"/>
      <c r="TDZ129" s="18"/>
      <c r="TEA129" s="18"/>
      <c r="TEB129" s="18"/>
      <c r="TEC129" s="18"/>
      <c r="TED129" s="18"/>
      <c r="TEE129" s="18"/>
      <c r="TEF129" s="18"/>
      <c r="TEG129" s="18"/>
      <c r="TEH129" s="18"/>
      <c r="TEI129" s="18"/>
      <c r="TEJ129" s="18"/>
      <c r="TEK129" s="18"/>
      <c r="TEL129" s="18"/>
      <c r="TEM129" s="18"/>
      <c r="TEN129" s="18"/>
      <c r="TEO129" s="18"/>
      <c r="TEP129" s="18"/>
      <c r="TEQ129" s="18"/>
      <c r="TER129" s="18"/>
      <c r="TES129" s="18"/>
      <c r="TET129" s="18"/>
      <c r="TEU129" s="18"/>
      <c r="TEV129" s="18"/>
      <c r="TEW129" s="18"/>
      <c r="TEX129" s="18"/>
      <c r="TEY129" s="18"/>
      <c r="TEZ129" s="18"/>
      <c r="TFA129" s="18"/>
      <c r="TFB129" s="18"/>
      <c r="TFC129" s="18"/>
      <c r="TFD129" s="18"/>
      <c r="TFE129" s="18"/>
      <c r="TFF129" s="18"/>
      <c r="TFG129" s="18"/>
      <c r="TFH129" s="18"/>
      <c r="TFI129" s="18"/>
      <c r="TFJ129" s="18"/>
      <c r="TFK129" s="18"/>
      <c r="TFL129" s="18"/>
      <c r="TFM129" s="18"/>
      <c r="TFN129" s="18"/>
      <c r="TFO129" s="18"/>
      <c r="TFP129" s="18"/>
      <c r="TFQ129" s="18"/>
      <c r="TFR129" s="18"/>
      <c r="TFS129" s="18"/>
      <c r="TFT129" s="18"/>
      <c r="TFU129" s="18"/>
      <c r="TFV129" s="18"/>
      <c r="TFW129" s="18"/>
      <c r="TFX129" s="18"/>
      <c r="TFY129" s="18"/>
      <c r="TFZ129" s="18"/>
      <c r="TGA129" s="18"/>
      <c r="TGB129" s="18"/>
      <c r="TGC129" s="18"/>
      <c r="TGD129" s="18"/>
      <c r="TGE129" s="18"/>
      <c r="TGF129" s="18"/>
      <c r="TGG129" s="18"/>
      <c r="TGH129" s="18"/>
      <c r="TGI129" s="18"/>
      <c r="TGJ129" s="18"/>
      <c r="TGK129" s="18"/>
      <c r="TGL129" s="18"/>
      <c r="TGM129" s="18"/>
      <c r="TGN129" s="18"/>
      <c r="TGO129" s="18"/>
      <c r="TGP129" s="18"/>
      <c r="TGQ129" s="18"/>
      <c r="TGR129" s="18"/>
      <c r="TGS129" s="18"/>
      <c r="TGT129" s="18"/>
      <c r="TGU129" s="18"/>
      <c r="TGV129" s="18"/>
      <c r="TGW129" s="18"/>
      <c r="TGX129" s="18"/>
      <c r="TGY129" s="18"/>
      <c r="TGZ129" s="18"/>
      <c r="THA129" s="18"/>
      <c r="THB129" s="18"/>
      <c r="THC129" s="18"/>
      <c r="THD129" s="18"/>
      <c r="THE129" s="18"/>
      <c r="THF129" s="18"/>
      <c r="THG129" s="18"/>
      <c r="THH129" s="18"/>
      <c r="THI129" s="18"/>
      <c r="THJ129" s="18"/>
      <c r="THK129" s="18"/>
      <c r="THL129" s="18"/>
      <c r="THM129" s="18"/>
      <c r="THN129" s="18"/>
      <c r="THO129" s="18"/>
      <c r="THP129" s="18"/>
      <c r="THQ129" s="18"/>
      <c r="THR129" s="18"/>
      <c r="THS129" s="18"/>
      <c r="THT129" s="18"/>
      <c r="THU129" s="18"/>
      <c r="THV129" s="18"/>
      <c r="THW129" s="18"/>
      <c r="THX129" s="18"/>
      <c r="THY129" s="18"/>
      <c r="THZ129" s="18"/>
      <c r="TIA129" s="18"/>
      <c r="TIB129" s="18"/>
      <c r="TIC129" s="18"/>
      <c r="TID129" s="18"/>
      <c r="TIE129" s="18"/>
      <c r="TIF129" s="18"/>
      <c r="TIG129" s="18"/>
      <c r="TIH129" s="18"/>
      <c r="TII129" s="18"/>
      <c r="TIJ129" s="18"/>
      <c r="TIK129" s="18"/>
      <c r="TIL129" s="18"/>
      <c r="TIM129" s="18"/>
      <c r="TIN129" s="18"/>
      <c r="TIO129" s="18"/>
      <c r="TIP129" s="18"/>
      <c r="TIQ129" s="18"/>
      <c r="TIR129" s="18"/>
      <c r="TIS129" s="18"/>
      <c r="TIT129" s="18"/>
      <c r="TIU129" s="18"/>
      <c r="TIV129" s="18"/>
      <c r="TIW129" s="18"/>
      <c r="TIX129" s="18"/>
      <c r="TIY129" s="18"/>
      <c r="TIZ129" s="18"/>
      <c r="TJA129" s="18"/>
      <c r="TJB129" s="18"/>
      <c r="TJC129" s="18"/>
      <c r="TJD129" s="18"/>
      <c r="TJE129" s="18"/>
      <c r="TJF129" s="18"/>
      <c r="TJG129" s="18"/>
      <c r="TJH129" s="18"/>
      <c r="TJI129" s="18"/>
      <c r="TJJ129" s="18"/>
      <c r="TJK129" s="18"/>
      <c r="TJL129" s="18"/>
      <c r="TJM129" s="18"/>
      <c r="TJN129" s="18"/>
      <c r="TJO129" s="18"/>
      <c r="TJP129" s="18"/>
      <c r="TJQ129" s="18"/>
      <c r="TJR129" s="18"/>
      <c r="TJS129" s="18"/>
      <c r="TJT129" s="18"/>
      <c r="TJU129" s="18"/>
      <c r="TJV129" s="18"/>
      <c r="TJW129" s="18"/>
      <c r="TJX129" s="18"/>
      <c r="TJY129" s="18"/>
      <c r="TJZ129" s="18"/>
      <c r="TKA129" s="18"/>
      <c r="TKB129" s="18"/>
      <c r="TKC129" s="18"/>
      <c r="TKD129" s="18"/>
      <c r="TKE129" s="18"/>
      <c r="TKF129" s="18"/>
      <c r="TKG129" s="18"/>
      <c r="TKH129" s="18"/>
      <c r="TKI129" s="18"/>
      <c r="TKJ129" s="18"/>
      <c r="TKK129" s="18"/>
      <c r="TKL129" s="18"/>
      <c r="TKM129" s="18"/>
      <c r="TKN129" s="18"/>
      <c r="TKO129" s="18"/>
      <c r="TKP129" s="18"/>
      <c r="TKQ129" s="18"/>
      <c r="TKR129" s="18"/>
      <c r="TKS129" s="18"/>
      <c r="TKT129" s="18"/>
      <c r="TKU129" s="18"/>
      <c r="TKV129" s="18"/>
      <c r="TKW129" s="18"/>
      <c r="TKX129" s="18"/>
      <c r="TKY129" s="18"/>
      <c r="TKZ129" s="18"/>
      <c r="TLA129" s="18"/>
      <c r="TLB129" s="18"/>
      <c r="TLC129" s="18"/>
      <c r="TLD129" s="18"/>
      <c r="TLE129" s="18"/>
      <c r="TLF129" s="18"/>
      <c r="TLG129" s="18"/>
      <c r="TLH129" s="18"/>
      <c r="TLI129" s="18"/>
      <c r="TLJ129" s="18"/>
      <c r="TLK129" s="18"/>
      <c r="TLL129" s="18"/>
      <c r="TLM129" s="18"/>
      <c r="TLN129" s="18"/>
      <c r="TLO129" s="18"/>
      <c r="TLP129" s="18"/>
      <c r="TLQ129" s="18"/>
      <c r="TLR129" s="18"/>
      <c r="TLS129" s="18"/>
      <c r="TLT129" s="18"/>
      <c r="TLU129" s="18"/>
      <c r="TLV129" s="18"/>
      <c r="TLW129" s="18"/>
      <c r="TLX129" s="18"/>
      <c r="TLY129" s="18"/>
      <c r="TLZ129" s="18"/>
      <c r="TMA129" s="18"/>
      <c r="TMB129" s="18"/>
      <c r="TMC129" s="18"/>
      <c r="TMD129" s="18"/>
      <c r="TME129" s="18"/>
      <c r="TMF129" s="18"/>
      <c r="TMG129" s="18"/>
      <c r="TMH129" s="18"/>
      <c r="TMI129" s="18"/>
      <c r="TMJ129" s="18"/>
      <c r="TMK129" s="18"/>
      <c r="TML129" s="18"/>
      <c r="TMM129" s="18"/>
      <c r="TMN129" s="18"/>
      <c r="TMO129" s="18"/>
      <c r="TMP129" s="18"/>
      <c r="TMQ129" s="18"/>
      <c r="TMR129" s="18"/>
      <c r="TMS129" s="18"/>
      <c r="TMT129" s="18"/>
      <c r="TMU129" s="18"/>
      <c r="TMV129" s="18"/>
      <c r="TMW129" s="18"/>
      <c r="TMX129" s="18"/>
      <c r="TMY129" s="18"/>
      <c r="TMZ129" s="18"/>
      <c r="TNA129" s="18"/>
      <c r="TNB129" s="18"/>
      <c r="TNC129" s="18"/>
      <c r="TND129" s="18"/>
      <c r="TNE129" s="18"/>
      <c r="TNF129" s="18"/>
      <c r="TNG129" s="18"/>
      <c r="TNH129" s="18"/>
      <c r="TNI129" s="18"/>
      <c r="TNJ129" s="18"/>
      <c r="TNK129" s="18"/>
      <c r="TNL129" s="18"/>
      <c r="TNM129" s="18"/>
      <c r="TNN129" s="18"/>
      <c r="TNO129" s="18"/>
      <c r="TNP129" s="18"/>
      <c r="TNQ129" s="18"/>
      <c r="TNR129" s="18"/>
      <c r="TNS129" s="18"/>
      <c r="TNT129" s="18"/>
      <c r="TNU129" s="18"/>
      <c r="TNV129" s="18"/>
      <c r="TNW129" s="18"/>
      <c r="TNX129" s="18"/>
      <c r="TNY129" s="18"/>
      <c r="TNZ129" s="18"/>
      <c r="TOA129" s="18"/>
      <c r="TOB129" s="18"/>
      <c r="TOC129" s="18"/>
      <c r="TOD129" s="18"/>
      <c r="TOE129" s="18"/>
      <c r="TOF129" s="18"/>
      <c r="TOG129" s="18"/>
      <c r="TOH129" s="18"/>
      <c r="TOI129" s="18"/>
      <c r="TOJ129" s="18"/>
      <c r="TOK129" s="18"/>
      <c r="TOL129" s="18"/>
      <c r="TOM129" s="18"/>
      <c r="TON129" s="18"/>
      <c r="TOO129" s="18"/>
      <c r="TOP129" s="18"/>
      <c r="TOQ129" s="18"/>
      <c r="TOR129" s="18"/>
      <c r="TOS129" s="18"/>
      <c r="TOT129" s="18"/>
      <c r="TOU129" s="18"/>
      <c r="TOV129" s="18"/>
      <c r="TOW129" s="18"/>
      <c r="TOX129" s="18"/>
      <c r="TOY129" s="18"/>
      <c r="TOZ129" s="18"/>
      <c r="TPA129" s="18"/>
      <c r="TPB129" s="18"/>
      <c r="TPC129" s="18"/>
      <c r="TPD129" s="18"/>
      <c r="TPE129" s="18"/>
      <c r="TPF129" s="18"/>
      <c r="TPG129" s="18"/>
      <c r="TPH129" s="18"/>
      <c r="TPI129" s="18"/>
      <c r="TPJ129" s="18"/>
      <c r="TPK129" s="18"/>
      <c r="TPL129" s="18"/>
      <c r="TPM129" s="18"/>
      <c r="TPN129" s="18"/>
      <c r="TPO129" s="18"/>
      <c r="TPP129" s="18"/>
      <c r="TPQ129" s="18"/>
      <c r="TPR129" s="18"/>
      <c r="TPS129" s="18"/>
      <c r="TPT129" s="18"/>
      <c r="TPU129" s="18"/>
      <c r="TPV129" s="18"/>
      <c r="TPW129" s="18"/>
      <c r="TPX129" s="18"/>
      <c r="TPY129" s="18"/>
      <c r="TPZ129" s="18"/>
      <c r="TQA129" s="18"/>
      <c r="TQB129" s="18"/>
      <c r="TQC129" s="18"/>
      <c r="TQD129" s="18"/>
      <c r="TQE129" s="18"/>
      <c r="TQF129" s="18"/>
      <c r="TQG129" s="18"/>
      <c r="TQH129" s="18"/>
      <c r="TQI129" s="18"/>
      <c r="TQJ129" s="18"/>
      <c r="TQK129" s="18"/>
      <c r="TQL129" s="18"/>
      <c r="TQM129" s="18"/>
      <c r="TQN129" s="18"/>
      <c r="TQO129" s="18"/>
      <c r="TQP129" s="18"/>
      <c r="TQQ129" s="18"/>
      <c r="TQR129" s="18"/>
      <c r="TQS129" s="18"/>
      <c r="TQT129" s="18"/>
      <c r="TQU129" s="18"/>
      <c r="TQV129" s="18"/>
      <c r="TQW129" s="18"/>
      <c r="TQX129" s="18"/>
      <c r="TQY129" s="18"/>
      <c r="TQZ129" s="18"/>
      <c r="TRA129" s="18"/>
      <c r="TRB129" s="18"/>
      <c r="TRC129" s="18"/>
      <c r="TRD129" s="18"/>
      <c r="TRE129" s="18"/>
      <c r="TRF129" s="18"/>
      <c r="TRG129" s="18"/>
      <c r="TRH129" s="18"/>
      <c r="TRI129" s="18"/>
      <c r="TRJ129" s="18"/>
      <c r="TRK129" s="18"/>
      <c r="TRL129" s="18"/>
      <c r="TRM129" s="18"/>
      <c r="TRN129" s="18"/>
      <c r="TRO129" s="18"/>
      <c r="TRP129" s="18"/>
      <c r="TRQ129" s="18"/>
      <c r="TRR129" s="18"/>
      <c r="TRS129" s="18"/>
      <c r="TRT129" s="18"/>
      <c r="TRU129" s="18"/>
      <c r="TRV129" s="18"/>
      <c r="TRW129" s="18"/>
      <c r="TRX129" s="18"/>
      <c r="TRY129" s="18"/>
      <c r="TRZ129" s="18"/>
      <c r="TSA129" s="18"/>
      <c r="TSB129" s="18"/>
      <c r="TSC129" s="18"/>
      <c r="TSD129" s="18"/>
      <c r="TSE129" s="18"/>
      <c r="TSF129" s="18"/>
      <c r="TSG129" s="18"/>
      <c r="TSH129" s="18"/>
      <c r="TSI129" s="18"/>
      <c r="TSJ129" s="18"/>
      <c r="TSK129" s="18"/>
      <c r="TSL129" s="18"/>
      <c r="TSM129" s="18"/>
      <c r="TSN129" s="18"/>
      <c r="TSO129" s="18"/>
      <c r="TSP129" s="18"/>
      <c r="TSQ129" s="18"/>
      <c r="TSR129" s="18"/>
      <c r="TSS129" s="18"/>
      <c r="TST129" s="18"/>
      <c r="TSU129" s="18"/>
      <c r="TSV129" s="18"/>
      <c r="TSW129" s="18"/>
      <c r="TSX129" s="18"/>
      <c r="TSY129" s="18"/>
      <c r="TSZ129" s="18"/>
      <c r="TTA129" s="18"/>
      <c r="TTB129" s="18"/>
      <c r="TTC129" s="18"/>
      <c r="TTD129" s="18"/>
      <c r="TTE129" s="18"/>
      <c r="TTF129" s="18"/>
      <c r="TTG129" s="18"/>
      <c r="TTH129" s="18"/>
      <c r="TTI129" s="18"/>
      <c r="TTJ129" s="18"/>
      <c r="TTK129" s="18"/>
      <c r="TTL129" s="18"/>
      <c r="TTM129" s="18"/>
      <c r="TTN129" s="18"/>
      <c r="TTO129" s="18"/>
      <c r="TTP129" s="18"/>
      <c r="TTQ129" s="18"/>
      <c r="TTR129" s="18"/>
      <c r="TTS129" s="18"/>
      <c r="TTT129" s="18"/>
      <c r="TTU129" s="18"/>
      <c r="TTV129" s="18"/>
      <c r="TTW129" s="18"/>
      <c r="TTX129" s="18"/>
      <c r="TTY129" s="18"/>
      <c r="TTZ129" s="18"/>
      <c r="TUA129" s="18"/>
      <c r="TUB129" s="18"/>
      <c r="TUC129" s="18"/>
      <c r="TUD129" s="18"/>
      <c r="TUE129" s="18"/>
      <c r="TUF129" s="18"/>
      <c r="TUG129" s="18"/>
      <c r="TUH129" s="18"/>
      <c r="TUI129" s="18"/>
      <c r="TUJ129" s="18"/>
      <c r="TUK129" s="18"/>
      <c r="TUL129" s="18"/>
      <c r="TUM129" s="18"/>
      <c r="TUN129" s="18"/>
      <c r="TUO129" s="18"/>
      <c r="TUP129" s="18"/>
      <c r="TUQ129" s="18"/>
      <c r="TUR129" s="18"/>
      <c r="TUS129" s="18"/>
      <c r="TUT129" s="18"/>
      <c r="TUU129" s="18"/>
      <c r="TUV129" s="18"/>
      <c r="TUW129" s="18"/>
      <c r="TUX129" s="18"/>
      <c r="TUY129" s="18"/>
      <c r="TUZ129" s="18"/>
      <c r="TVA129" s="18"/>
      <c r="TVB129" s="18"/>
      <c r="TVC129" s="18"/>
      <c r="TVD129" s="18"/>
      <c r="TVE129" s="18"/>
      <c r="TVF129" s="18"/>
      <c r="TVG129" s="18"/>
      <c r="TVH129" s="18"/>
      <c r="TVI129" s="18"/>
      <c r="TVJ129" s="18"/>
      <c r="TVK129" s="18"/>
      <c r="TVL129" s="18"/>
      <c r="TVM129" s="18"/>
      <c r="TVN129" s="18"/>
      <c r="TVO129" s="18"/>
      <c r="TVP129" s="18"/>
      <c r="TVQ129" s="18"/>
      <c r="TVR129" s="18"/>
      <c r="TVS129" s="18"/>
      <c r="TVT129" s="18"/>
      <c r="TVU129" s="18"/>
      <c r="TVV129" s="18"/>
      <c r="TVW129" s="18"/>
      <c r="TVX129" s="18"/>
      <c r="TVY129" s="18"/>
      <c r="TVZ129" s="18"/>
      <c r="TWA129" s="18"/>
      <c r="TWB129" s="18"/>
      <c r="TWC129" s="18"/>
      <c r="TWD129" s="18"/>
      <c r="TWE129" s="18"/>
      <c r="TWF129" s="18"/>
      <c r="TWG129" s="18"/>
      <c r="TWH129" s="18"/>
      <c r="TWI129" s="18"/>
      <c r="TWJ129" s="18"/>
      <c r="TWK129" s="18"/>
      <c r="TWL129" s="18"/>
      <c r="TWM129" s="18"/>
      <c r="TWN129" s="18"/>
      <c r="TWO129" s="18"/>
      <c r="TWP129" s="18"/>
      <c r="TWQ129" s="18"/>
      <c r="TWR129" s="18"/>
      <c r="TWS129" s="18"/>
      <c r="TWT129" s="18"/>
      <c r="TWU129" s="18"/>
      <c r="TWV129" s="18"/>
      <c r="TWW129" s="18"/>
      <c r="TWX129" s="18"/>
      <c r="TWY129" s="18"/>
      <c r="TWZ129" s="18"/>
      <c r="TXA129" s="18"/>
      <c r="TXB129" s="18"/>
      <c r="TXC129" s="18"/>
      <c r="TXD129" s="18"/>
      <c r="TXE129" s="18"/>
      <c r="TXF129" s="18"/>
      <c r="TXG129" s="18"/>
      <c r="TXH129" s="18"/>
      <c r="TXI129" s="18"/>
      <c r="TXJ129" s="18"/>
      <c r="TXK129" s="18"/>
      <c r="TXL129" s="18"/>
      <c r="TXM129" s="18"/>
      <c r="TXN129" s="18"/>
      <c r="TXO129" s="18"/>
      <c r="TXP129" s="18"/>
      <c r="TXQ129" s="18"/>
      <c r="TXR129" s="18"/>
      <c r="TXS129" s="18"/>
      <c r="TXT129" s="18"/>
      <c r="TXU129" s="18"/>
      <c r="TXV129" s="18"/>
      <c r="TXW129" s="18"/>
      <c r="TXX129" s="18"/>
      <c r="TXY129" s="18"/>
      <c r="TXZ129" s="18"/>
      <c r="TYA129" s="18"/>
      <c r="TYB129" s="18"/>
      <c r="TYC129" s="18"/>
      <c r="TYD129" s="18"/>
      <c r="TYE129" s="18"/>
      <c r="TYF129" s="18"/>
      <c r="TYG129" s="18"/>
      <c r="TYH129" s="18"/>
      <c r="TYI129" s="18"/>
      <c r="TYJ129" s="18"/>
      <c r="TYK129" s="18"/>
      <c r="TYL129" s="18"/>
      <c r="TYM129" s="18"/>
      <c r="TYN129" s="18"/>
      <c r="TYO129" s="18"/>
      <c r="TYP129" s="18"/>
      <c r="TYQ129" s="18"/>
      <c r="TYR129" s="18"/>
      <c r="TYS129" s="18"/>
      <c r="TYT129" s="18"/>
      <c r="TYU129" s="18"/>
      <c r="TYV129" s="18"/>
      <c r="TYW129" s="18"/>
      <c r="TYX129" s="18"/>
      <c r="TYY129" s="18"/>
      <c r="TYZ129" s="18"/>
      <c r="TZA129" s="18"/>
      <c r="TZB129" s="18"/>
      <c r="TZC129" s="18"/>
      <c r="TZD129" s="18"/>
      <c r="TZE129" s="18"/>
      <c r="TZF129" s="18"/>
      <c r="TZG129" s="18"/>
      <c r="TZH129" s="18"/>
      <c r="TZI129" s="18"/>
      <c r="TZJ129" s="18"/>
      <c r="TZK129" s="18"/>
      <c r="TZL129" s="18"/>
      <c r="TZM129" s="18"/>
      <c r="TZN129" s="18"/>
      <c r="TZO129" s="18"/>
      <c r="TZP129" s="18"/>
      <c r="TZQ129" s="18"/>
      <c r="TZR129" s="18"/>
      <c r="TZS129" s="18"/>
      <c r="TZT129" s="18"/>
      <c r="TZU129" s="18"/>
      <c r="TZV129" s="18"/>
      <c r="TZW129" s="18"/>
      <c r="TZX129" s="18"/>
      <c r="TZY129" s="18"/>
      <c r="TZZ129" s="18"/>
      <c r="UAA129" s="18"/>
      <c r="UAB129" s="18"/>
      <c r="UAC129" s="18"/>
      <c r="UAD129" s="18"/>
      <c r="UAE129" s="18"/>
      <c r="UAF129" s="18"/>
      <c r="UAG129" s="18"/>
      <c r="UAH129" s="18"/>
      <c r="UAI129" s="18"/>
      <c r="UAJ129" s="18"/>
      <c r="UAK129" s="18"/>
      <c r="UAL129" s="18"/>
      <c r="UAM129" s="18"/>
      <c r="UAN129" s="18"/>
      <c r="UAO129" s="18"/>
      <c r="UAP129" s="18"/>
      <c r="UAQ129" s="18"/>
      <c r="UAR129" s="18"/>
      <c r="UAS129" s="18"/>
      <c r="UAT129" s="18"/>
      <c r="UAU129" s="18"/>
      <c r="UAV129" s="18"/>
      <c r="UAW129" s="18"/>
      <c r="UAX129" s="18"/>
      <c r="UAY129" s="18"/>
      <c r="UAZ129" s="18"/>
      <c r="UBA129" s="18"/>
      <c r="UBB129" s="18"/>
      <c r="UBC129" s="18"/>
      <c r="UBD129" s="18"/>
      <c r="UBE129" s="18"/>
      <c r="UBF129" s="18"/>
      <c r="UBG129" s="18"/>
      <c r="UBH129" s="18"/>
      <c r="UBI129" s="18"/>
      <c r="UBJ129" s="18"/>
      <c r="UBK129" s="18"/>
      <c r="UBL129" s="18"/>
      <c r="UBM129" s="18"/>
      <c r="UBN129" s="18"/>
      <c r="UBO129" s="18"/>
      <c r="UBP129" s="18"/>
      <c r="UBQ129" s="18"/>
      <c r="UBR129" s="18"/>
      <c r="UBS129" s="18"/>
      <c r="UBT129" s="18"/>
      <c r="UBU129" s="18"/>
      <c r="UBV129" s="18"/>
      <c r="UBW129" s="18"/>
      <c r="UBX129" s="18"/>
      <c r="UBY129" s="18"/>
      <c r="UBZ129" s="18"/>
      <c r="UCA129" s="18"/>
      <c r="UCB129" s="18"/>
      <c r="UCC129" s="18"/>
      <c r="UCD129" s="18"/>
      <c r="UCE129" s="18"/>
      <c r="UCF129" s="18"/>
      <c r="UCG129" s="18"/>
      <c r="UCH129" s="18"/>
      <c r="UCI129" s="18"/>
      <c r="UCJ129" s="18"/>
      <c r="UCK129" s="18"/>
      <c r="UCL129" s="18"/>
      <c r="UCM129" s="18"/>
      <c r="UCN129" s="18"/>
      <c r="UCO129" s="18"/>
      <c r="UCP129" s="18"/>
      <c r="UCQ129" s="18"/>
      <c r="UCR129" s="18"/>
      <c r="UCS129" s="18"/>
      <c r="UCT129" s="18"/>
      <c r="UCU129" s="18"/>
      <c r="UCV129" s="18"/>
      <c r="UCW129" s="18"/>
      <c r="UCX129" s="18"/>
      <c r="UCY129" s="18"/>
      <c r="UCZ129" s="18"/>
      <c r="UDA129" s="18"/>
      <c r="UDB129" s="18"/>
      <c r="UDC129" s="18"/>
      <c r="UDD129" s="18"/>
      <c r="UDE129" s="18"/>
      <c r="UDF129" s="18"/>
      <c r="UDG129" s="18"/>
      <c r="UDH129" s="18"/>
      <c r="UDI129" s="18"/>
      <c r="UDJ129" s="18"/>
      <c r="UDK129" s="18"/>
      <c r="UDL129" s="18"/>
      <c r="UDM129" s="18"/>
      <c r="UDN129" s="18"/>
      <c r="UDO129" s="18"/>
      <c r="UDP129" s="18"/>
      <c r="UDQ129" s="18"/>
      <c r="UDR129" s="18"/>
      <c r="UDS129" s="18"/>
      <c r="UDT129" s="18"/>
      <c r="UDU129" s="18"/>
      <c r="UDV129" s="18"/>
      <c r="UDW129" s="18"/>
      <c r="UDX129" s="18"/>
      <c r="UDY129" s="18"/>
      <c r="UDZ129" s="18"/>
      <c r="UEA129" s="18"/>
      <c r="UEB129" s="18"/>
      <c r="UEC129" s="18"/>
      <c r="UED129" s="18"/>
      <c r="UEE129" s="18"/>
      <c r="UEF129" s="18"/>
      <c r="UEG129" s="18"/>
      <c r="UEH129" s="18"/>
      <c r="UEI129" s="18"/>
      <c r="UEJ129" s="18"/>
      <c r="UEK129" s="18"/>
      <c r="UEL129" s="18"/>
      <c r="UEM129" s="18"/>
      <c r="UEN129" s="18"/>
      <c r="UEO129" s="18"/>
      <c r="UEP129" s="18"/>
      <c r="UEQ129" s="18"/>
      <c r="UER129" s="18"/>
      <c r="UES129" s="18"/>
      <c r="UET129" s="18"/>
      <c r="UEU129" s="18"/>
      <c r="UEV129" s="18"/>
      <c r="UEW129" s="18"/>
      <c r="UEX129" s="18"/>
      <c r="UEY129" s="18"/>
      <c r="UEZ129" s="18"/>
      <c r="UFA129" s="18"/>
      <c r="UFB129" s="18"/>
      <c r="UFC129" s="18"/>
      <c r="UFD129" s="18"/>
      <c r="UFE129" s="18"/>
      <c r="UFF129" s="18"/>
      <c r="UFG129" s="18"/>
      <c r="UFH129" s="18"/>
      <c r="UFI129" s="18"/>
      <c r="UFJ129" s="18"/>
      <c r="UFK129" s="18"/>
      <c r="UFL129" s="18"/>
      <c r="UFM129" s="18"/>
      <c r="UFN129" s="18"/>
      <c r="UFO129" s="18"/>
      <c r="UFP129" s="18"/>
      <c r="UFQ129" s="18"/>
      <c r="UFR129" s="18"/>
      <c r="UFS129" s="18"/>
      <c r="UFT129" s="18"/>
      <c r="UFU129" s="18"/>
      <c r="UFV129" s="18"/>
      <c r="UFW129" s="18"/>
      <c r="UFX129" s="18"/>
      <c r="UFY129" s="18"/>
      <c r="UFZ129" s="18"/>
      <c r="UGA129" s="18"/>
      <c r="UGB129" s="18"/>
      <c r="UGC129" s="18"/>
      <c r="UGD129" s="18"/>
      <c r="UGE129" s="18"/>
      <c r="UGF129" s="18"/>
      <c r="UGG129" s="18"/>
      <c r="UGH129" s="18"/>
      <c r="UGI129" s="18"/>
      <c r="UGJ129" s="18"/>
      <c r="UGK129" s="18"/>
      <c r="UGL129" s="18"/>
      <c r="UGM129" s="18"/>
      <c r="UGN129" s="18"/>
      <c r="UGO129" s="18"/>
      <c r="UGP129" s="18"/>
      <c r="UGQ129" s="18"/>
      <c r="UGR129" s="18"/>
      <c r="UGS129" s="18"/>
      <c r="UGT129" s="18"/>
      <c r="UGU129" s="18"/>
      <c r="UGV129" s="18"/>
      <c r="UGW129" s="18"/>
      <c r="UGX129" s="18"/>
      <c r="UGY129" s="18"/>
      <c r="UGZ129" s="18"/>
      <c r="UHA129" s="18"/>
      <c r="UHB129" s="18"/>
      <c r="UHC129" s="18"/>
      <c r="UHD129" s="18"/>
      <c r="UHE129" s="18"/>
      <c r="UHF129" s="18"/>
      <c r="UHG129" s="18"/>
      <c r="UHH129" s="18"/>
      <c r="UHI129" s="18"/>
      <c r="UHJ129" s="18"/>
      <c r="UHK129" s="18"/>
      <c r="UHL129" s="18"/>
      <c r="UHM129" s="18"/>
      <c r="UHN129" s="18"/>
      <c r="UHO129" s="18"/>
      <c r="UHP129" s="18"/>
      <c r="UHQ129" s="18"/>
      <c r="UHR129" s="18"/>
      <c r="UHS129" s="18"/>
      <c r="UHT129" s="18"/>
      <c r="UHU129" s="18"/>
      <c r="UHV129" s="18"/>
      <c r="UHW129" s="18"/>
      <c r="UHX129" s="18"/>
      <c r="UHY129" s="18"/>
      <c r="UHZ129" s="18"/>
      <c r="UIA129" s="18"/>
      <c r="UIB129" s="18"/>
      <c r="UIC129" s="18"/>
      <c r="UID129" s="18"/>
      <c r="UIE129" s="18"/>
      <c r="UIF129" s="18"/>
      <c r="UIG129" s="18"/>
      <c r="UIH129" s="18"/>
      <c r="UII129" s="18"/>
      <c r="UIJ129" s="18"/>
      <c r="UIK129" s="18"/>
      <c r="UIL129" s="18"/>
      <c r="UIM129" s="18"/>
      <c r="UIN129" s="18"/>
      <c r="UIO129" s="18"/>
      <c r="UIP129" s="18"/>
      <c r="UIQ129" s="18"/>
      <c r="UIR129" s="18"/>
      <c r="UIS129" s="18"/>
      <c r="UIT129" s="18"/>
      <c r="UIU129" s="18"/>
      <c r="UIV129" s="18"/>
      <c r="UIW129" s="18"/>
      <c r="UIX129" s="18"/>
      <c r="UIY129" s="18"/>
      <c r="UIZ129" s="18"/>
      <c r="UJA129" s="18"/>
      <c r="UJB129" s="18"/>
      <c r="UJC129" s="18"/>
      <c r="UJD129" s="18"/>
      <c r="UJE129" s="18"/>
      <c r="UJF129" s="18"/>
      <c r="UJG129" s="18"/>
      <c r="UJH129" s="18"/>
      <c r="UJI129" s="18"/>
      <c r="UJJ129" s="18"/>
      <c r="UJK129" s="18"/>
      <c r="UJL129" s="18"/>
      <c r="UJM129" s="18"/>
      <c r="UJN129" s="18"/>
      <c r="UJO129" s="18"/>
      <c r="UJP129" s="18"/>
      <c r="UJQ129" s="18"/>
      <c r="UJR129" s="18"/>
      <c r="UJS129" s="18"/>
      <c r="UJT129" s="18"/>
      <c r="UJU129" s="18"/>
      <c r="UJV129" s="18"/>
      <c r="UJW129" s="18"/>
      <c r="UJX129" s="18"/>
      <c r="UJY129" s="18"/>
      <c r="UJZ129" s="18"/>
      <c r="UKA129" s="18"/>
      <c r="UKB129" s="18"/>
      <c r="UKC129" s="18"/>
      <c r="UKD129" s="18"/>
      <c r="UKE129" s="18"/>
      <c r="UKF129" s="18"/>
      <c r="UKG129" s="18"/>
      <c r="UKH129" s="18"/>
      <c r="UKI129" s="18"/>
      <c r="UKJ129" s="18"/>
      <c r="UKK129" s="18"/>
      <c r="UKL129" s="18"/>
      <c r="UKM129" s="18"/>
      <c r="UKN129" s="18"/>
      <c r="UKO129" s="18"/>
      <c r="UKP129" s="18"/>
      <c r="UKQ129" s="18"/>
      <c r="UKR129" s="18"/>
      <c r="UKS129" s="18"/>
      <c r="UKT129" s="18"/>
      <c r="UKU129" s="18"/>
      <c r="UKV129" s="18"/>
      <c r="UKW129" s="18"/>
      <c r="UKX129" s="18"/>
      <c r="UKY129" s="18"/>
      <c r="UKZ129" s="18"/>
      <c r="ULA129" s="18"/>
      <c r="ULB129" s="18"/>
      <c r="ULC129" s="18"/>
      <c r="ULD129" s="18"/>
      <c r="ULE129" s="18"/>
      <c r="ULF129" s="18"/>
      <c r="ULG129" s="18"/>
      <c r="ULH129" s="18"/>
      <c r="ULI129" s="18"/>
      <c r="ULJ129" s="18"/>
      <c r="ULK129" s="18"/>
      <c r="ULL129" s="18"/>
      <c r="ULM129" s="18"/>
      <c r="ULN129" s="18"/>
      <c r="ULO129" s="18"/>
      <c r="ULP129" s="18"/>
      <c r="ULQ129" s="18"/>
      <c r="ULR129" s="18"/>
      <c r="ULS129" s="18"/>
      <c r="ULT129" s="18"/>
      <c r="ULU129" s="18"/>
      <c r="ULV129" s="18"/>
      <c r="ULW129" s="18"/>
      <c r="ULX129" s="18"/>
      <c r="ULY129" s="18"/>
      <c r="ULZ129" s="18"/>
      <c r="UMA129" s="18"/>
      <c r="UMB129" s="18"/>
      <c r="UMC129" s="18"/>
      <c r="UMD129" s="18"/>
      <c r="UME129" s="18"/>
      <c r="UMF129" s="18"/>
      <c r="UMG129" s="18"/>
      <c r="UMH129" s="18"/>
      <c r="UMI129" s="18"/>
      <c r="UMJ129" s="18"/>
      <c r="UMK129" s="18"/>
      <c r="UML129" s="18"/>
      <c r="UMM129" s="18"/>
      <c r="UMN129" s="18"/>
      <c r="UMO129" s="18"/>
      <c r="UMP129" s="18"/>
      <c r="UMQ129" s="18"/>
      <c r="UMR129" s="18"/>
      <c r="UMS129" s="18"/>
      <c r="UMT129" s="18"/>
      <c r="UMU129" s="18"/>
      <c r="UMV129" s="18"/>
      <c r="UMW129" s="18"/>
      <c r="UMX129" s="18"/>
      <c r="UMY129" s="18"/>
      <c r="UMZ129" s="18"/>
      <c r="UNA129" s="18"/>
      <c r="UNB129" s="18"/>
      <c r="UNC129" s="18"/>
      <c r="UND129" s="18"/>
      <c r="UNE129" s="18"/>
      <c r="UNF129" s="18"/>
      <c r="UNG129" s="18"/>
      <c r="UNH129" s="18"/>
      <c r="UNI129" s="18"/>
      <c r="UNJ129" s="18"/>
      <c r="UNK129" s="18"/>
      <c r="UNL129" s="18"/>
      <c r="UNM129" s="18"/>
      <c r="UNN129" s="18"/>
      <c r="UNO129" s="18"/>
      <c r="UNP129" s="18"/>
      <c r="UNQ129" s="18"/>
      <c r="UNR129" s="18"/>
      <c r="UNS129" s="18"/>
      <c r="UNT129" s="18"/>
      <c r="UNU129" s="18"/>
      <c r="UNV129" s="18"/>
      <c r="UNW129" s="18"/>
      <c r="UNX129" s="18"/>
      <c r="UNY129" s="18"/>
      <c r="UNZ129" s="18"/>
      <c r="UOA129" s="18"/>
      <c r="UOB129" s="18"/>
      <c r="UOC129" s="18"/>
      <c r="UOD129" s="18"/>
      <c r="UOE129" s="18"/>
      <c r="UOF129" s="18"/>
      <c r="UOG129" s="18"/>
      <c r="UOH129" s="18"/>
      <c r="UOI129" s="18"/>
      <c r="UOJ129" s="18"/>
      <c r="UOK129" s="18"/>
      <c r="UOL129" s="18"/>
      <c r="UOM129" s="18"/>
      <c r="UON129" s="18"/>
      <c r="UOO129" s="18"/>
      <c r="UOP129" s="18"/>
      <c r="UOQ129" s="18"/>
      <c r="UOR129" s="18"/>
      <c r="UOS129" s="18"/>
      <c r="UOT129" s="18"/>
      <c r="UOU129" s="18"/>
      <c r="UOV129" s="18"/>
      <c r="UOW129" s="18"/>
      <c r="UOX129" s="18"/>
      <c r="UOY129" s="18"/>
      <c r="UOZ129" s="18"/>
      <c r="UPA129" s="18"/>
      <c r="UPB129" s="18"/>
      <c r="UPC129" s="18"/>
      <c r="UPD129" s="18"/>
      <c r="UPE129" s="18"/>
      <c r="UPF129" s="18"/>
      <c r="UPG129" s="18"/>
      <c r="UPH129" s="18"/>
      <c r="UPI129" s="18"/>
      <c r="UPJ129" s="18"/>
      <c r="UPK129" s="18"/>
      <c r="UPL129" s="18"/>
      <c r="UPM129" s="18"/>
      <c r="UPN129" s="18"/>
      <c r="UPO129" s="18"/>
      <c r="UPP129" s="18"/>
      <c r="UPQ129" s="18"/>
      <c r="UPR129" s="18"/>
      <c r="UPS129" s="18"/>
      <c r="UPT129" s="18"/>
      <c r="UPU129" s="18"/>
      <c r="UPV129" s="18"/>
      <c r="UPW129" s="18"/>
      <c r="UPX129" s="18"/>
      <c r="UPY129" s="18"/>
      <c r="UPZ129" s="18"/>
      <c r="UQA129" s="18"/>
      <c r="UQB129" s="18"/>
      <c r="UQC129" s="18"/>
      <c r="UQD129" s="18"/>
      <c r="UQE129" s="18"/>
      <c r="UQF129" s="18"/>
      <c r="UQG129" s="18"/>
      <c r="UQH129" s="18"/>
      <c r="UQI129" s="18"/>
      <c r="UQJ129" s="18"/>
      <c r="UQK129" s="18"/>
      <c r="UQL129" s="18"/>
      <c r="UQM129" s="18"/>
      <c r="UQN129" s="18"/>
      <c r="UQO129" s="18"/>
      <c r="UQP129" s="18"/>
      <c r="UQQ129" s="18"/>
      <c r="UQR129" s="18"/>
      <c r="UQS129" s="18"/>
      <c r="UQT129" s="18"/>
      <c r="UQU129" s="18"/>
      <c r="UQV129" s="18"/>
      <c r="UQW129" s="18"/>
      <c r="UQX129" s="18"/>
      <c r="UQY129" s="18"/>
      <c r="UQZ129" s="18"/>
      <c r="URA129" s="18"/>
      <c r="URB129" s="18"/>
      <c r="URC129" s="18"/>
      <c r="URD129" s="18"/>
      <c r="URE129" s="18"/>
      <c r="URF129" s="18"/>
      <c r="URG129" s="18"/>
      <c r="URH129" s="18"/>
      <c r="URI129" s="18"/>
      <c r="URJ129" s="18"/>
      <c r="URK129" s="18"/>
      <c r="URL129" s="18"/>
      <c r="URM129" s="18"/>
      <c r="URN129" s="18"/>
      <c r="URO129" s="18"/>
      <c r="URP129" s="18"/>
      <c r="URQ129" s="18"/>
      <c r="URR129" s="18"/>
      <c r="URS129" s="18"/>
      <c r="URT129" s="18"/>
      <c r="URU129" s="18"/>
      <c r="URV129" s="18"/>
      <c r="URW129" s="18"/>
      <c r="URX129" s="18"/>
      <c r="URY129" s="18"/>
      <c r="URZ129" s="18"/>
      <c r="USA129" s="18"/>
      <c r="USB129" s="18"/>
      <c r="USC129" s="18"/>
      <c r="USD129" s="18"/>
      <c r="USE129" s="18"/>
      <c r="USF129" s="18"/>
      <c r="USG129" s="18"/>
      <c r="USH129" s="18"/>
      <c r="USI129" s="18"/>
      <c r="USJ129" s="18"/>
      <c r="USK129" s="18"/>
      <c r="USL129" s="18"/>
      <c r="USM129" s="18"/>
      <c r="USN129" s="18"/>
      <c r="USO129" s="18"/>
      <c r="USP129" s="18"/>
      <c r="USQ129" s="18"/>
      <c r="USR129" s="18"/>
      <c r="USS129" s="18"/>
      <c r="UST129" s="18"/>
      <c r="USU129" s="18"/>
      <c r="USV129" s="18"/>
      <c r="USW129" s="18"/>
      <c r="USX129" s="18"/>
      <c r="USY129" s="18"/>
      <c r="USZ129" s="18"/>
      <c r="UTA129" s="18"/>
      <c r="UTB129" s="18"/>
      <c r="UTC129" s="18"/>
      <c r="UTD129" s="18"/>
      <c r="UTE129" s="18"/>
      <c r="UTF129" s="18"/>
      <c r="UTG129" s="18"/>
      <c r="UTH129" s="18"/>
      <c r="UTI129" s="18"/>
      <c r="UTJ129" s="18"/>
      <c r="UTK129" s="18"/>
      <c r="UTL129" s="18"/>
      <c r="UTM129" s="18"/>
      <c r="UTN129" s="18"/>
      <c r="UTO129" s="18"/>
      <c r="UTP129" s="18"/>
      <c r="UTQ129" s="18"/>
      <c r="UTR129" s="18"/>
      <c r="UTS129" s="18"/>
      <c r="UTT129" s="18"/>
      <c r="UTU129" s="18"/>
      <c r="UTV129" s="18"/>
      <c r="UTW129" s="18"/>
      <c r="UTX129" s="18"/>
      <c r="UTY129" s="18"/>
      <c r="UTZ129" s="18"/>
      <c r="UUA129" s="18"/>
      <c r="UUB129" s="18"/>
      <c r="UUC129" s="18"/>
      <c r="UUD129" s="18"/>
      <c r="UUE129" s="18"/>
      <c r="UUF129" s="18"/>
      <c r="UUG129" s="18"/>
      <c r="UUH129" s="18"/>
      <c r="UUI129" s="18"/>
      <c r="UUJ129" s="18"/>
      <c r="UUK129" s="18"/>
      <c r="UUL129" s="18"/>
      <c r="UUM129" s="18"/>
      <c r="UUN129" s="18"/>
      <c r="UUO129" s="18"/>
      <c r="UUP129" s="18"/>
      <c r="UUQ129" s="18"/>
      <c r="UUR129" s="18"/>
      <c r="UUS129" s="18"/>
      <c r="UUT129" s="18"/>
      <c r="UUU129" s="18"/>
      <c r="UUV129" s="18"/>
      <c r="UUW129" s="18"/>
      <c r="UUX129" s="18"/>
      <c r="UUY129" s="18"/>
      <c r="UUZ129" s="18"/>
      <c r="UVA129" s="18"/>
      <c r="UVB129" s="18"/>
      <c r="UVC129" s="18"/>
      <c r="UVD129" s="18"/>
      <c r="UVE129" s="18"/>
      <c r="UVF129" s="18"/>
      <c r="UVG129" s="18"/>
      <c r="UVH129" s="18"/>
      <c r="UVI129" s="18"/>
      <c r="UVJ129" s="18"/>
      <c r="UVK129" s="18"/>
      <c r="UVL129" s="18"/>
      <c r="UVM129" s="18"/>
      <c r="UVN129" s="18"/>
      <c r="UVO129" s="18"/>
      <c r="UVP129" s="18"/>
      <c r="UVQ129" s="18"/>
      <c r="UVR129" s="18"/>
      <c r="UVS129" s="18"/>
      <c r="UVT129" s="18"/>
      <c r="UVU129" s="18"/>
      <c r="UVV129" s="18"/>
      <c r="UVW129" s="18"/>
      <c r="UVX129" s="18"/>
      <c r="UVY129" s="18"/>
      <c r="UVZ129" s="18"/>
      <c r="UWA129" s="18"/>
      <c r="UWB129" s="18"/>
      <c r="UWC129" s="18"/>
      <c r="UWD129" s="18"/>
      <c r="UWE129" s="18"/>
      <c r="UWF129" s="18"/>
      <c r="UWG129" s="18"/>
      <c r="UWH129" s="18"/>
      <c r="UWI129" s="18"/>
      <c r="UWJ129" s="18"/>
      <c r="UWK129" s="18"/>
      <c r="UWL129" s="18"/>
      <c r="UWM129" s="18"/>
      <c r="UWN129" s="18"/>
      <c r="UWO129" s="18"/>
      <c r="UWP129" s="18"/>
      <c r="UWQ129" s="18"/>
      <c r="UWR129" s="18"/>
      <c r="UWS129" s="18"/>
      <c r="UWT129" s="18"/>
      <c r="UWU129" s="18"/>
      <c r="UWV129" s="18"/>
      <c r="UWW129" s="18"/>
      <c r="UWX129" s="18"/>
      <c r="UWY129" s="18"/>
      <c r="UWZ129" s="18"/>
      <c r="UXA129" s="18"/>
      <c r="UXB129" s="18"/>
      <c r="UXC129" s="18"/>
      <c r="UXD129" s="18"/>
      <c r="UXE129" s="18"/>
      <c r="UXF129" s="18"/>
      <c r="UXG129" s="18"/>
      <c r="UXH129" s="18"/>
      <c r="UXI129" s="18"/>
      <c r="UXJ129" s="18"/>
      <c r="UXK129" s="18"/>
      <c r="UXL129" s="18"/>
      <c r="UXM129" s="18"/>
      <c r="UXN129" s="18"/>
      <c r="UXO129" s="18"/>
      <c r="UXP129" s="18"/>
      <c r="UXQ129" s="18"/>
      <c r="UXR129" s="18"/>
      <c r="UXS129" s="18"/>
      <c r="UXT129" s="18"/>
      <c r="UXU129" s="18"/>
      <c r="UXV129" s="18"/>
      <c r="UXW129" s="18"/>
      <c r="UXX129" s="18"/>
      <c r="UXY129" s="18"/>
      <c r="UXZ129" s="18"/>
      <c r="UYA129" s="18"/>
      <c r="UYB129" s="18"/>
      <c r="UYC129" s="18"/>
      <c r="UYD129" s="18"/>
      <c r="UYE129" s="18"/>
      <c r="UYF129" s="18"/>
      <c r="UYG129" s="18"/>
      <c r="UYH129" s="18"/>
      <c r="UYI129" s="18"/>
      <c r="UYJ129" s="18"/>
      <c r="UYK129" s="18"/>
      <c r="UYL129" s="18"/>
      <c r="UYM129" s="18"/>
      <c r="UYN129" s="18"/>
      <c r="UYO129" s="18"/>
      <c r="UYP129" s="18"/>
      <c r="UYQ129" s="18"/>
      <c r="UYR129" s="18"/>
      <c r="UYS129" s="18"/>
      <c r="UYT129" s="18"/>
      <c r="UYU129" s="18"/>
      <c r="UYV129" s="18"/>
      <c r="UYW129" s="18"/>
      <c r="UYX129" s="18"/>
      <c r="UYY129" s="18"/>
      <c r="UYZ129" s="18"/>
      <c r="UZA129" s="18"/>
      <c r="UZB129" s="18"/>
      <c r="UZC129" s="18"/>
      <c r="UZD129" s="18"/>
      <c r="UZE129" s="18"/>
      <c r="UZF129" s="18"/>
      <c r="UZG129" s="18"/>
      <c r="UZH129" s="18"/>
      <c r="UZI129" s="18"/>
      <c r="UZJ129" s="18"/>
      <c r="UZK129" s="18"/>
      <c r="UZL129" s="18"/>
      <c r="UZM129" s="18"/>
      <c r="UZN129" s="18"/>
      <c r="UZO129" s="18"/>
      <c r="UZP129" s="18"/>
      <c r="UZQ129" s="18"/>
      <c r="UZR129" s="18"/>
      <c r="UZS129" s="18"/>
      <c r="UZT129" s="18"/>
      <c r="UZU129" s="18"/>
      <c r="UZV129" s="18"/>
      <c r="UZW129" s="18"/>
      <c r="UZX129" s="18"/>
      <c r="UZY129" s="18"/>
      <c r="UZZ129" s="18"/>
      <c r="VAA129" s="18"/>
      <c r="VAB129" s="18"/>
      <c r="VAC129" s="18"/>
      <c r="VAD129" s="18"/>
      <c r="VAE129" s="18"/>
      <c r="VAF129" s="18"/>
      <c r="VAG129" s="18"/>
      <c r="VAH129" s="18"/>
      <c r="VAI129" s="18"/>
      <c r="VAJ129" s="18"/>
      <c r="VAK129" s="18"/>
      <c r="VAL129" s="18"/>
      <c r="VAM129" s="18"/>
      <c r="VAN129" s="18"/>
      <c r="VAO129" s="18"/>
      <c r="VAP129" s="18"/>
      <c r="VAQ129" s="18"/>
      <c r="VAR129" s="18"/>
      <c r="VAS129" s="18"/>
      <c r="VAT129" s="18"/>
      <c r="VAU129" s="18"/>
      <c r="VAV129" s="18"/>
      <c r="VAW129" s="18"/>
      <c r="VAX129" s="18"/>
      <c r="VAY129" s="18"/>
      <c r="VAZ129" s="18"/>
      <c r="VBA129" s="18"/>
      <c r="VBB129" s="18"/>
      <c r="VBC129" s="18"/>
      <c r="VBD129" s="18"/>
      <c r="VBE129" s="18"/>
      <c r="VBF129" s="18"/>
      <c r="VBG129" s="18"/>
      <c r="VBH129" s="18"/>
      <c r="VBI129" s="18"/>
      <c r="VBJ129" s="18"/>
      <c r="VBK129" s="18"/>
      <c r="VBL129" s="18"/>
      <c r="VBM129" s="18"/>
      <c r="VBN129" s="18"/>
      <c r="VBO129" s="18"/>
      <c r="VBP129" s="18"/>
      <c r="VBQ129" s="18"/>
      <c r="VBR129" s="18"/>
      <c r="VBS129" s="18"/>
      <c r="VBT129" s="18"/>
      <c r="VBU129" s="18"/>
      <c r="VBV129" s="18"/>
      <c r="VBW129" s="18"/>
      <c r="VBX129" s="18"/>
      <c r="VBY129" s="18"/>
      <c r="VBZ129" s="18"/>
      <c r="VCA129" s="18"/>
      <c r="VCB129" s="18"/>
      <c r="VCC129" s="18"/>
      <c r="VCD129" s="18"/>
      <c r="VCE129" s="18"/>
      <c r="VCF129" s="18"/>
      <c r="VCG129" s="18"/>
      <c r="VCH129" s="18"/>
      <c r="VCI129" s="18"/>
      <c r="VCJ129" s="18"/>
      <c r="VCK129" s="18"/>
      <c r="VCL129" s="18"/>
      <c r="VCM129" s="18"/>
      <c r="VCN129" s="18"/>
      <c r="VCO129" s="18"/>
      <c r="VCP129" s="18"/>
      <c r="VCQ129" s="18"/>
      <c r="VCR129" s="18"/>
      <c r="VCS129" s="18"/>
      <c r="VCT129" s="18"/>
      <c r="VCU129" s="18"/>
      <c r="VCV129" s="18"/>
      <c r="VCW129" s="18"/>
      <c r="VCX129" s="18"/>
      <c r="VCY129" s="18"/>
      <c r="VCZ129" s="18"/>
      <c r="VDA129" s="18"/>
      <c r="VDB129" s="18"/>
      <c r="VDC129" s="18"/>
      <c r="VDD129" s="18"/>
      <c r="VDE129" s="18"/>
      <c r="VDF129" s="18"/>
      <c r="VDG129" s="18"/>
      <c r="VDH129" s="18"/>
      <c r="VDI129" s="18"/>
      <c r="VDJ129" s="18"/>
      <c r="VDK129" s="18"/>
      <c r="VDL129" s="18"/>
      <c r="VDM129" s="18"/>
      <c r="VDN129" s="18"/>
      <c r="VDO129" s="18"/>
      <c r="VDP129" s="18"/>
      <c r="VDQ129" s="18"/>
      <c r="VDR129" s="18"/>
      <c r="VDS129" s="18"/>
      <c r="VDT129" s="18"/>
      <c r="VDU129" s="18"/>
      <c r="VDV129" s="18"/>
      <c r="VDW129" s="18"/>
      <c r="VDX129" s="18"/>
      <c r="VDY129" s="18"/>
      <c r="VDZ129" s="18"/>
      <c r="VEA129" s="18"/>
      <c r="VEB129" s="18"/>
      <c r="VEC129" s="18"/>
      <c r="VED129" s="18"/>
      <c r="VEE129" s="18"/>
      <c r="VEF129" s="18"/>
      <c r="VEG129" s="18"/>
      <c r="VEH129" s="18"/>
      <c r="VEI129" s="18"/>
      <c r="VEJ129" s="18"/>
      <c r="VEK129" s="18"/>
      <c r="VEL129" s="18"/>
      <c r="VEM129" s="18"/>
      <c r="VEN129" s="18"/>
      <c r="VEO129" s="18"/>
      <c r="VEP129" s="18"/>
      <c r="VEQ129" s="18"/>
      <c r="VER129" s="18"/>
      <c r="VES129" s="18"/>
      <c r="VET129" s="18"/>
      <c r="VEU129" s="18"/>
      <c r="VEV129" s="18"/>
      <c r="VEW129" s="18"/>
      <c r="VEX129" s="18"/>
      <c r="VEY129" s="18"/>
      <c r="VEZ129" s="18"/>
      <c r="VFA129" s="18"/>
      <c r="VFB129" s="18"/>
      <c r="VFC129" s="18"/>
      <c r="VFD129" s="18"/>
      <c r="VFE129" s="18"/>
      <c r="VFF129" s="18"/>
      <c r="VFG129" s="18"/>
      <c r="VFH129" s="18"/>
      <c r="VFI129" s="18"/>
      <c r="VFJ129" s="18"/>
      <c r="VFK129" s="18"/>
      <c r="VFL129" s="18"/>
      <c r="VFM129" s="18"/>
      <c r="VFN129" s="18"/>
      <c r="VFO129" s="18"/>
      <c r="VFP129" s="18"/>
      <c r="VFQ129" s="18"/>
      <c r="VFR129" s="18"/>
      <c r="VFS129" s="18"/>
      <c r="VFT129" s="18"/>
      <c r="VFU129" s="18"/>
      <c r="VFV129" s="18"/>
      <c r="VFW129" s="18"/>
      <c r="VFX129" s="18"/>
      <c r="VFY129" s="18"/>
      <c r="VFZ129" s="18"/>
      <c r="VGA129" s="18"/>
      <c r="VGB129" s="18"/>
      <c r="VGC129" s="18"/>
      <c r="VGD129" s="18"/>
      <c r="VGE129" s="18"/>
      <c r="VGF129" s="18"/>
      <c r="VGG129" s="18"/>
      <c r="VGH129" s="18"/>
      <c r="VGI129" s="18"/>
      <c r="VGJ129" s="18"/>
      <c r="VGK129" s="18"/>
      <c r="VGL129" s="18"/>
      <c r="VGM129" s="18"/>
      <c r="VGN129" s="18"/>
      <c r="VGO129" s="18"/>
      <c r="VGP129" s="18"/>
      <c r="VGQ129" s="18"/>
      <c r="VGR129" s="18"/>
      <c r="VGS129" s="18"/>
      <c r="VGT129" s="18"/>
      <c r="VGU129" s="18"/>
      <c r="VGV129" s="18"/>
      <c r="VGW129" s="18"/>
      <c r="VGX129" s="18"/>
      <c r="VGY129" s="18"/>
      <c r="VGZ129" s="18"/>
      <c r="VHA129" s="18"/>
      <c r="VHB129" s="18"/>
      <c r="VHC129" s="18"/>
      <c r="VHD129" s="18"/>
      <c r="VHE129" s="18"/>
      <c r="VHF129" s="18"/>
      <c r="VHG129" s="18"/>
      <c r="VHH129" s="18"/>
      <c r="VHI129" s="18"/>
      <c r="VHJ129" s="18"/>
      <c r="VHK129" s="18"/>
      <c r="VHL129" s="18"/>
      <c r="VHM129" s="18"/>
      <c r="VHN129" s="18"/>
      <c r="VHO129" s="18"/>
      <c r="VHP129" s="18"/>
      <c r="VHQ129" s="18"/>
      <c r="VHR129" s="18"/>
      <c r="VHS129" s="18"/>
      <c r="VHT129" s="18"/>
      <c r="VHU129" s="18"/>
      <c r="VHV129" s="18"/>
      <c r="VHW129" s="18"/>
      <c r="VHX129" s="18"/>
      <c r="VHY129" s="18"/>
      <c r="VHZ129" s="18"/>
      <c r="VIA129" s="18"/>
      <c r="VIB129" s="18"/>
      <c r="VIC129" s="18"/>
      <c r="VID129" s="18"/>
      <c r="VIE129" s="18"/>
      <c r="VIF129" s="18"/>
      <c r="VIG129" s="18"/>
      <c r="VIH129" s="18"/>
      <c r="VII129" s="18"/>
      <c r="VIJ129" s="18"/>
      <c r="VIK129" s="18"/>
      <c r="VIL129" s="18"/>
      <c r="VIM129" s="18"/>
      <c r="VIN129" s="18"/>
      <c r="VIO129" s="18"/>
      <c r="VIP129" s="18"/>
      <c r="VIQ129" s="18"/>
      <c r="VIR129" s="18"/>
      <c r="VIS129" s="18"/>
      <c r="VIT129" s="18"/>
      <c r="VIU129" s="18"/>
      <c r="VIV129" s="18"/>
      <c r="VIW129" s="18"/>
      <c r="VIX129" s="18"/>
      <c r="VIY129" s="18"/>
      <c r="VIZ129" s="18"/>
      <c r="VJA129" s="18"/>
      <c r="VJB129" s="18"/>
      <c r="VJC129" s="18"/>
      <c r="VJD129" s="18"/>
      <c r="VJE129" s="18"/>
      <c r="VJF129" s="18"/>
      <c r="VJG129" s="18"/>
      <c r="VJH129" s="18"/>
      <c r="VJI129" s="18"/>
      <c r="VJJ129" s="18"/>
      <c r="VJK129" s="18"/>
      <c r="VJL129" s="18"/>
      <c r="VJM129" s="18"/>
      <c r="VJN129" s="18"/>
      <c r="VJO129" s="18"/>
      <c r="VJP129" s="18"/>
      <c r="VJQ129" s="18"/>
      <c r="VJR129" s="18"/>
      <c r="VJS129" s="18"/>
      <c r="VJT129" s="18"/>
      <c r="VJU129" s="18"/>
      <c r="VJV129" s="18"/>
      <c r="VJW129" s="18"/>
      <c r="VJX129" s="18"/>
      <c r="VJY129" s="18"/>
      <c r="VJZ129" s="18"/>
      <c r="VKA129" s="18"/>
      <c r="VKB129" s="18"/>
      <c r="VKC129" s="18"/>
      <c r="VKD129" s="18"/>
      <c r="VKE129" s="18"/>
      <c r="VKF129" s="18"/>
      <c r="VKG129" s="18"/>
      <c r="VKH129" s="18"/>
      <c r="VKI129" s="18"/>
      <c r="VKJ129" s="18"/>
      <c r="VKK129" s="18"/>
      <c r="VKL129" s="18"/>
      <c r="VKM129" s="18"/>
      <c r="VKN129" s="18"/>
      <c r="VKO129" s="18"/>
      <c r="VKP129" s="18"/>
      <c r="VKQ129" s="18"/>
      <c r="VKR129" s="18"/>
      <c r="VKS129" s="18"/>
      <c r="VKT129" s="18"/>
      <c r="VKU129" s="18"/>
      <c r="VKV129" s="18"/>
      <c r="VKW129" s="18"/>
      <c r="VKX129" s="18"/>
      <c r="VKY129" s="18"/>
      <c r="VKZ129" s="18"/>
      <c r="VLA129" s="18"/>
      <c r="VLB129" s="18"/>
      <c r="VLC129" s="18"/>
      <c r="VLD129" s="18"/>
      <c r="VLE129" s="18"/>
      <c r="VLF129" s="18"/>
      <c r="VLG129" s="18"/>
      <c r="VLH129" s="18"/>
      <c r="VLI129" s="18"/>
      <c r="VLJ129" s="18"/>
      <c r="VLK129" s="18"/>
      <c r="VLL129" s="18"/>
      <c r="VLM129" s="18"/>
      <c r="VLN129" s="18"/>
      <c r="VLO129" s="18"/>
      <c r="VLP129" s="18"/>
      <c r="VLQ129" s="18"/>
      <c r="VLR129" s="18"/>
      <c r="VLS129" s="18"/>
      <c r="VLT129" s="18"/>
      <c r="VLU129" s="18"/>
      <c r="VLV129" s="18"/>
      <c r="VLW129" s="18"/>
      <c r="VLX129" s="18"/>
      <c r="VLY129" s="18"/>
      <c r="VLZ129" s="18"/>
      <c r="VMA129" s="18"/>
      <c r="VMB129" s="18"/>
      <c r="VMC129" s="18"/>
      <c r="VMD129" s="18"/>
      <c r="VME129" s="18"/>
      <c r="VMF129" s="18"/>
      <c r="VMG129" s="18"/>
      <c r="VMH129" s="18"/>
      <c r="VMI129" s="18"/>
      <c r="VMJ129" s="18"/>
      <c r="VMK129" s="18"/>
      <c r="VML129" s="18"/>
      <c r="VMM129" s="18"/>
      <c r="VMN129" s="18"/>
      <c r="VMO129" s="18"/>
      <c r="VMP129" s="18"/>
      <c r="VMQ129" s="18"/>
      <c r="VMR129" s="18"/>
      <c r="VMS129" s="18"/>
      <c r="VMT129" s="18"/>
      <c r="VMU129" s="18"/>
      <c r="VMV129" s="18"/>
      <c r="VMW129" s="18"/>
      <c r="VMX129" s="18"/>
      <c r="VMY129" s="18"/>
      <c r="VMZ129" s="18"/>
      <c r="VNA129" s="18"/>
      <c r="VNB129" s="18"/>
      <c r="VNC129" s="18"/>
      <c r="VND129" s="18"/>
      <c r="VNE129" s="18"/>
      <c r="VNF129" s="18"/>
      <c r="VNG129" s="18"/>
      <c r="VNH129" s="18"/>
      <c r="VNI129" s="18"/>
      <c r="VNJ129" s="18"/>
      <c r="VNK129" s="18"/>
      <c r="VNL129" s="18"/>
      <c r="VNM129" s="18"/>
      <c r="VNN129" s="18"/>
      <c r="VNO129" s="18"/>
      <c r="VNP129" s="18"/>
      <c r="VNQ129" s="18"/>
      <c r="VNR129" s="18"/>
      <c r="VNS129" s="18"/>
      <c r="VNT129" s="18"/>
      <c r="VNU129" s="18"/>
      <c r="VNV129" s="18"/>
      <c r="VNW129" s="18"/>
      <c r="VNX129" s="18"/>
      <c r="VNY129" s="18"/>
      <c r="VNZ129" s="18"/>
      <c r="VOA129" s="18"/>
      <c r="VOB129" s="18"/>
      <c r="VOC129" s="18"/>
      <c r="VOD129" s="18"/>
      <c r="VOE129" s="18"/>
      <c r="VOF129" s="18"/>
      <c r="VOG129" s="18"/>
      <c r="VOH129" s="18"/>
      <c r="VOI129" s="18"/>
      <c r="VOJ129" s="18"/>
      <c r="VOK129" s="18"/>
      <c r="VOL129" s="18"/>
      <c r="VOM129" s="18"/>
      <c r="VON129" s="18"/>
      <c r="VOO129" s="18"/>
      <c r="VOP129" s="18"/>
      <c r="VOQ129" s="18"/>
      <c r="VOR129" s="18"/>
      <c r="VOS129" s="18"/>
      <c r="VOT129" s="18"/>
      <c r="VOU129" s="18"/>
      <c r="VOV129" s="18"/>
      <c r="VOW129" s="18"/>
      <c r="VOX129" s="18"/>
      <c r="VOY129" s="18"/>
      <c r="VOZ129" s="18"/>
      <c r="VPA129" s="18"/>
      <c r="VPB129" s="18"/>
      <c r="VPC129" s="18"/>
      <c r="VPD129" s="18"/>
      <c r="VPE129" s="18"/>
      <c r="VPF129" s="18"/>
      <c r="VPG129" s="18"/>
      <c r="VPH129" s="18"/>
      <c r="VPI129" s="18"/>
      <c r="VPJ129" s="18"/>
      <c r="VPK129" s="18"/>
      <c r="VPL129" s="18"/>
      <c r="VPM129" s="18"/>
      <c r="VPN129" s="18"/>
      <c r="VPO129" s="18"/>
      <c r="VPP129" s="18"/>
      <c r="VPQ129" s="18"/>
      <c r="VPR129" s="18"/>
      <c r="VPS129" s="18"/>
      <c r="VPT129" s="18"/>
      <c r="VPU129" s="18"/>
      <c r="VPV129" s="18"/>
      <c r="VPW129" s="18"/>
      <c r="VPX129" s="18"/>
      <c r="VPY129" s="18"/>
      <c r="VPZ129" s="18"/>
      <c r="VQA129" s="18"/>
      <c r="VQB129" s="18"/>
      <c r="VQC129" s="18"/>
      <c r="VQD129" s="18"/>
      <c r="VQE129" s="18"/>
      <c r="VQF129" s="18"/>
      <c r="VQG129" s="18"/>
      <c r="VQH129" s="18"/>
      <c r="VQI129" s="18"/>
      <c r="VQJ129" s="18"/>
      <c r="VQK129" s="18"/>
      <c r="VQL129" s="18"/>
      <c r="VQM129" s="18"/>
      <c r="VQN129" s="18"/>
      <c r="VQO129" s="18"/>
      <c r="VQP129" s="18"/>
      <c r="VQQ129" s="18"/>
      <c r="VQR129" s="18"/>
      <c r="VQS129" s="18"/>
      <c r="VQT129" s="18"/>
      <c r="VQU129" s="18"/>
      <c r="VQV129" s="18"/>
      <c r="VQW129" s="18"/>
      <c r="VQX129" s="18"/>
      <c r="VQY129" s="18"/>
      <c r="VQZ129" s="18"/>
      <c r="VRA129" s="18"/>
      <c r="VRB129" s="18"/>
      <c r="VRC129" s="18"/>
      <c r="VRD129" s="18"/>
      <c r="VRE129" s="18"/>
      <c r="VRF129" s="18"/>
      <c r="VRG129" s="18"/>
      <c r="VRH129" s="18"/>
      <c r="VRI129" s="18"/>
      <c r="VRJ129" s="18"/>
      <c r="VRK129" s="18"/>
      <c r="VRL129" s="18"/>
      <c r="VRM129" s="18"/>
      <c r="VRN129" s="18"/>
      <c r="VRO129" s="18"/>
      <c r="VRP129" s="18"/>
      <c r="VRQ129" s="18"/>
      <c r="VRR129" s="18"/>
      <c r="VRS129" s="18"/>
      <c r="VRT129" s="18"/>
      <c r="VRU129" s="18"/>
      <c r="VRV129" s="18"/>
      <c r="VRW129" s="18"/>
      <c r="VRX129" s="18"/>
      <c r="VRY129" s="18"/>
      <c r="VRZ129" s="18"/>
      <c r="VSA129" s="18"/>
      <c r="VSB129" s="18"/>
      <c r="VSC129" s="18"/>
      <c r="VSD129" s="18"/>
      <c r="VSE129" s="18"/>
      <c r="VSF129" s="18"/>
      <c r="VSG129" s="18"/>
      <c r="VSH129" s="18"/>
      <c r="VSI129" s="18"/>
      <c r="VSJ129" s="18"/>
      <c r="VSK129" s="18"/>
      <c r="VSL129" s="18"/>
      <c r="VSM129" s="18"/>
      <c r="VSN129" s="18"/>
      <c r="VSO129" s="18"/>
      <c r="VSP129" s="18"/>
      <c r="VSQ129" s="18"/>
      <c r="VSR129" s="18"/>
      <c r="VSS129" s="18"/>
      <c r="VST129" s="18"/>
      <c r="VSU129" s="18"/>
      <c r="VSV129" s="18"/>
      <c r="VSW129" s="18"/>
      <c r="VSX129" s="18"/>
      <c r="VSY129" s="18"/>
      <c r="VSZ129" s="18"/>
      <c r="VTA129" s="18"/>
      <c r="VTB129" s="18"/>
      <c r="VTC129" s="18"/>
      <c r="VTD129" s="18"/>
      <c r="VTE129" s="18"/>
      <c r="VTF129" s="18"/>
      <c r="VTG129" s="18"/>
      <c r="VTH129" s="18"/>
      <c r="VTI129" s="18"/>
      <c r="VTJ129" s="18"/>
      <c r="VTK129" s="18"/>
      <c r="VTL129" s="18"/>
      <c r="VTM129" s="18"/>
      <c r="VTN129" s="18"/>
      <c r="VTO129" s="18"/>
      <c r="VTP129" s="18"/>
      <c r="VTQ129" s="18"/>
      <c r="VTR129" s="18"/>
      <c r="VTS129" s="18"/>
      <c r="VTT129" s="18"/>
      <c r="VTU129" s="18"/>
      <c r="VTV129" s="18"/>
      <c r="VTW129" s="18"/>
      <c r="VTX129" s="18"/>
      <c r="VTY129" s="18"/>
      <c r="VTZ129" s="18"/>
      <c r="VUA129" s="18"/>
      <c r="VUB129" s="18"/>
      <c r="VUC129" s="18"/>
      <c r="VUD129" s="18"/>
      <c r="VUE129" s="18"/>
      <c r="VUF129" s="18"/>
      <c r="VUG129" s="18"/>
      <c r="VUH129" s="18"/>
      <c r="VUI129" s="18"/>
      <c r="VUJ129" s="18"/>
      <c r="VUK129" s="18"/>
      <c r="VUL129" s="18"/>
      <c r="VUM129" s="18"/>
      <c r="VUN129" s="18"/>
      <c r="VUO129" s="18"/>
      <c r="VUP129" s="18"/>
      <c r="VUQ129" s="18"/>
      <c r="VUR129" s="18"/>
      <c r="VUS129" s="18"/>
      <c r="VUT129" s="18"/>
      <c r="VUU129" s="18"/>
      <c r="VUV129" s="18"/>
      <c r="VUW129" s="18"/>
      <c r="VUX129" s="18"/>
      <c r="VUY129" s="18"/>
      <c r="VUZ129" s="18"/>
      <c r="VVA129" s="18"/>
      <c r="VVB129" s="18"/>
      <c r="VVC129" s="18"/>
      <c r="VVD129" s="18"/>
      <c r="VVE129" s="18"/>
      <c r="VVF129" s="18"/>
      <c r="VVG129" s="18"/>
      <c r="VVH129" s="18"/>
      <c r="VVI129" s="18"/>
      <c r="VVJ129" s="18"/>
      <c r="VVK129" s="18"/>
      <c r="VVL129" s="18"/>
      <c r="VVM129" s="18"/>
      <c r="VVN129" s="18"/>
      <c r="VVO129" s="18"/>
      <c r="VVP129" s="18"/>
      <c r="VVQ129" s="18"/>
      <c r="VVR129" s="18"/>
      <c r="VVS129" s="18"/>
      <c r="VVT129" s="18"/>
      <c r="VVU129" s="18"/>
      <c r="VVV129" s="18"/>
      <c r="VVW129" s="18"/>
      <c r="VVX129" s="18"/>
      <c r="VVY129" s="18"/>
      <c r="VVZ129" s="18"/>
      <c r="VWA129" s="18"/>
      <c r="VWB129" s="18"/>
      <c r="VWC129" s="18"/>
      <c r="VWD129" s="18"/>
      <c r="VWE129" s="18"/>
      <c r="VWF129" s="18"/>
      <c r="VWG129" s="18"/>
      <c r="VWH129" s="18"/>
      <c r="VWI129" s="18"/>
      <c r="VWJ129" s="18"/>
      <c r="VWK129" s="18"/>
      <c r="VWL129" s="18"/>
      <c r="VWM129" s="18"/>
      <c r="VWN129" s="18"/>
      <c r="VWO129" s="18"/>
      <c r="VWP129" s="18"/>
      <c r="VWQ129" s="18"/>
      <c r="VWR129" s="18"/>
      <c r="VWS129" s="18"/>
      <c r="VWT129" s="18"/>
      <c r="VWU129" s="18"/>
      <c r="VWV129" s="18"/>
      <c r="VWW129" s="18"/>
      <c r="VWX129" s="18"/>
      <c r="VWY129" s="18"/>
      <c r="VWZ129" s="18"/>
      <c r="VXA129" s="18"/>
      <c r="VXB129" s="18"/>
      <c r="VXC129" s="18"/>
      <c r="VXD129" s="18"/>
      <c r="VXE129" s="18"/>
      <c r="VXF129" s="18"/>
      <c r="VXG129" s="18"/>
      <c r="VXH129" s="18"/>
      <c r="VXI129" s="18"/>
      <c r="VXJ129" s="18"/>
      <c r="VXK129" s="18"/>
      <c r="VXL129" s="18"/>
      <c r="VXM129" s="18"/>
      <c r="VXN129" s="18"/>
      <c r="VXO129" s="18"/>
      <c r="VXP129" s="18"/>
      <c r="VXQ129" s="18"/>
      <c r="VXR129" s="18"/>
      <c r="VXS129" s="18"/>
      <c r="VXT129" s="18"/>
      <c r="VXU129" s="18"/>
      <c r="VXV129" s="18"/>
      <c r="VXW129" s="18"/>
      <c r="VXX129" s="18"/>
      <c r="VXY129" s="18"/>
      <c r="VXZ129" s="18"/>
      <c r="VYA129" s="18"/>
      <c r="VYB129" s="18"/>
      <c r="VYC129" s="18"/>
      <c r="VYD129" s="18"/>
      <c r="VYE129" s="18"/>
      <c r="VYF129" s="18"/>
      <c r="VYG129" s="18"/>
      <c r="VYH129" s="18"/>
      <c r="VYI129" s="18"/>
      <c r="VYJ129" s="18"/>
      <c r="VYK129" s="18"/>
      <c r="VYL129" s="18"/>
      <c r="VYM129" s="18"/>
      <c r="VYN129" s="18"/>
      <c r="VYO129" s="18"/>
      <c r="VYP129" s="18"/>
      <c r="VYQ129" s="18"/>
      <c r="VYR129" s="18"/>
      <c r="VYS129" s="18"/>
      <c r="VYT129" s="18"/>
      <c r="VYU129" s="18"/>
      <c r="VYV129" s="18"/>
      <c r="VYW129" s="18"/>
      <c r="VYX129" s="18"/>
      <c r="VYY129" s="18"/>
      <c r="VYZ129" s="18"/>
      <c r="VZA129" s="18"/>
      <c r="VZB129" s="18"/>
      <c r="VZC129" s="18"/>
      <c r="VZD129" s="18"/>
      <c r="VZE129" s="18"/>
      <c r="VZF129" s="18"/>
      <c r="VZG129" s="18"/>
      <c r="VZH129" s="18"/>
      <c r="VZI129" s="18"/>
      <c r="VZJ129" s="18"/>
      <c r="VZK129" s="18"/>
      <c r="VZL129" s="18"/>
      <c r="VZM129" s="18"/>
      <c r="VZN129" s="18"/>
      <c r="VZO129" s="18"/>
      <c r="VZP129" s="18"/>
      <c r="VZQ129" s="18"/>
      <c r="VZR129" s="18"/>
      <c r="VZS129" s="18"/>
      <c r="VZT129" s="18"/>
      <c r="VZU129" s="18"/>
      <c r="VZV129" s="18"/>
      <c r="VZW129" s="18"/>
      <c r="VZX129" s="18"/>
      <c r="VZY129" s="18"/>
      <c r="VZZ129" s="18"/>
      <c r="WAA129" s="18"/>
      <c r="WAB129" s="18"/>
      <c r="WAC129" s="18"/>
      <c r="WAD129" s="18"/>
      <c r="WAE129" s="18"/>
      <c r="WAF129" s="18"/>
      <c r="WAG129" s="18"/>
      <c r="WAH129" s="18"/>
      <c r="WAI129" s="18"/>
      <c r="WAJ129" s="18"/>
      <c r="WAK129" s="18"/>
      <c r="WAL129" s="18"/>
      <c r="WAM129" s="18"/>
      <c r="WAN129" s="18"/>
      <c r="WAO129" s="18"/>
      <c r="WAP129" s="18"/>
      <c r="WAQ129" s="18"/>
      <c r="WAR129" s="18"/>
      <c r="WAS129" s="18"/>
      <c r="WAT129" s="18"/>
      <c r="WAU129" s="18"/>
      <c r="WAV129" s="18"/>
      <c r="WAW129" s="18"/>
      <c r="WAX129" s="18"/>
      <c r="WAY129" s="18"/>
      <c r="WAZ129" s="18"/>
      <c r="WBA129" s="18"/>
      <c r="WBB129" s="18"/>
      <c r="WBC129" s="18"/>
      <c r="WBD129" s="18"/>
      <c r="WBE129" s="18"/>
      <c r="WBF129" s="18"/>
      <c r="WBG129" s="18"/>
      <c r="WBH129" s="18"/>
      <c r="WBI129" s="18"/>
      <c r="WBJ129" s="18"/>
      <c r="WBK129" s="18"/>
      <c r="WBL129" s="18"/>
      <c r="WBM129" s="18"/>
      <c r="WBN129" s="18"/>
      <c r="WBO129" s="18"/>
      <c r="WBP129" s="18"/>
      <c r="WBQ129" s="18"/>
      <c r="WBR129" s="18"/>
      <c r="WBS129" s="18"/>
      <c r="WBT129" s="18"/>
      <c r="WBU129" s="18"/>
      <c r="WBV129" s="18"/>
      <c r="WBW129" s="18"/>
      <c r="WBX129" s="18"/>
      <c r="WBY129" s="18"/>
      <c r="WBZ129" s="18"/>
      <c r="WCA129" s="18"/>
      <c r="WCB129" s="18"/>
      <c r="WCC129" s="18"/>
      <c r="WCD129" s="18"/>
      <c r="WCE129" s="18"/>
      <c r="WCF129" s="18"/>
      <c r="WCG129" s="18"/>
      <c r="WCH129" s="18"/>
      <c r="WCI129" s="18"/>
      <c r="WCJ129" s="18"/>
      <c r="WCK129" s="18"/>
      <c r="WCL129" s="18"/>
      <c r="WCM129" s="18"/>
      <c r="WCN129" s="18"/>
      <c r="WCO129" s="18"/>
      <c r="WCP129" s="18"/>
      <c r="WCQ129" s="18"/>
      <c r="WCR129" s="18"/>
      <c r="WCS129" s="18"/>
      <c r="WCT129" s="18"/>
      <c r="WCU129" s="18"/>
      <c r="WCV129" s="18"/>
      <c r="WCW129" s="18"/>
      <c r="WCX129" s="18"/>
      <c r="WCY129" s="18"/>
      <c r="WCZ129" s="18"/>
      <c r="WDA129" s="18"/>
      <c r="WDB129" s="18"/>
      <c r="WDC129" s="18"/>
      <c r="WDD129" s="18"/>
      <c r="WDE129" s="18"/>
      <c r="WDF129" s="18"/>
      <c r="WDG129" s="18"/>
      <c r="WDH129" s="18"/>
      <c r="WDI129" s="18"/>
      <c r="WDJ129" s="18"/>
      <c r="WDK129" s="18"/>
      <c r="WDL129" s="18"/>
      <c r="WDM129" s="18"/>
      <c r="WDN129" s="18"/>
      <c r="WDO129" s="18"/>
      <c r="WDP129" s="18"/>
      <c r="WDQ129" s="18"/>
      <c r="WDR129" s="18"/>
      <c r="WDS129" s="18"/>
      <c r="WDT129" s="18"/>
      <c r="WDU129" s="18"/>
      <c r="WDV129" s="18"/>
      <c r="WDW129" s="18"/>
      <c r="WDX129" s="18"/>
      <c r="WDY129" s="18"/>
      <c r="WDZ129" s="18"/>
      <c r="WEA129" s="18"/>
      <c r="WEB129" s="18"/>
      <c r="WEC129" s="18"/>
      <c r="WED129" s="18"/>
      <c r="WEE129" s="18"/>
      <c r="WEF129" s="18"/>
      <c r="WEG129" s="18"/>
      <c r="WEH129" s="18"/>
      <c r="WEI129" s="18"/>
      <c r="WEJ129" s="18"/>
      <c r="WEK129" s="18"/>
      <c r="WEL129" s="18"/>
      <c r="WEM129" s="18"/>
      <c r="WEN129" s="18"/>
      <c r="WEO129" s="18"/>
      <c r="WEP129" s="18"/>
      <c r="WEQ129" s="18"/>
      <c r="WER129" s="18"/>
      <c r="WES129" s="18"/>
      <c r="WET129" s="18"/>
      <c r="WEU129" s="18"/>
      <c r="WEV129" s="18"/>
      <c r="WEW129" s="18"/>
      <c r="WEX129" s="18"/>
      <c r="WEY129" s="18"/>
      <c r="WEZ129" s="18"/>
      <c r="WFA129" s="18"/>
      <c r="WFB129" s="18"/>
      <c r="WFC129" s="18"/>
      <c r="WFD129" s="18"/>
      <c r="WFE129" s="18"/>
      <c r="WFF129" s="18"/>
      <c r="WFG129" s="18"/>
      <c r="WFH129" s="18"/>
      <c r="WFI129" s="18"/>
      <c r="WFJ129" s="18"/>
      <c r="WFK129" s="18"/>
      <c r="WFL129" s="18"/>
      <c r="WFM129" s="18"/>
      <c r="WFN129" s="18"/>
      <c r="WFO129" s="18"/>
      <c r="WFP129" s="18"/>
      <c r="WFQ129" s="18"/>
      <c r="WFR129" s="18"/>
      <c r="WFS129" s="18"/>
      <c r="WFT129" s="18"/>
      <c r="WFU129" s="18"/>
      <c r="WFV129" s="18"/>
      <c r="WFW129" s="18"/>
      <c r="WFX129" s="18"/>
      <c r="WFY129" s="18"/>
      <c r="WFZ129" s="18"/>
      <c r="WGA129" s="18"/>
      <c r="WGB129" s="18"/>
      <c r="WGC129" s="18"/>
      <c r="WGD129" s="18"/>
      <c r="WGE129" s="18"/>
      <c r="WGF129" s="18"/>
      <c r="WGG129" s="18"/>
      <c r="WGH129" s="18"/>
      <c r="WGI129" s="18"/>
      <c r="WGJ129" s="18"/>
      <c r="WGK129" s="18"/>
      <c r="WGL129" s="18"/>
      <c r="WGM129" s="18"/>
      <c r="WGN129" s="18"/>
      <c r="WGO129" s="18"/>
      <c r="WGP129" s="18"/>
      <c r="WGQ129" s="18"/>
      <c r="WGR129" s="18"/>
      <c r="WGS129" s="18"/>
      <c r="WGT129" s="18"/>
      <c r="WGU129" s="18"/>
      <c r="WGV129" s="18"/>
      <c r="WGW129" s="18"/>
      <c r="WGX129" s="18"/>
      <c r="WGY129" s="18"/>
      <c r="WGZ129" s="18"/>
      <c r="WHA129" s="18"/>
      <c r="WHB129" s="18"/>
      <c r="WHC129" s="18"/>
      <c r="WHD129" s="18"/>
      <c r="WHE129" s="18"/>
      <c r="WHF129" s="18"/>
      <c r="WHG129" s="18"/>
      <c r="WHH129" s="18"/>
      <c r="WHI129" s="18"/>
      <c r="WHJ129" s="18"/>
      <c r="WHK129" s="18"/>
      <c r="WHL129" s="18"/>
      <c r="WHM129" s="18"/>
      <c r="WHN129" s="18"/>
      <c r="WHO129" s="18"/>
      <c r="WHP129" s="18"/>
      <c r="WHQ129" s="18"/>
      <c r="WHR129" s="18"/>
      <c r="WHS129" s="18"/>
      <c r="WHT129" s="18"/>
      <c r="WHU129" s="18"/>
      <c r="WHV129" s="18"/>
      <c r="WHW129" s="18"/>
      <c r="WHX129" s="18"/>
      <c r="WHY129" s="18"/>
      <c r="WHZ129" s="18"/>
      <c r="WIA129" s="18"/>
      <c r="WIB129" s="18"/>
      <c r="WIC129" s="18"/>
      <c r="WID129" s="18"/>
      <c r="WIE129" s="18"/>
      <c r="WIF129" s="18"/>
      <c r="WIG129" s="18"/>
      <c r="WIH129" s="18"/>
      <c r="WII129" s="18"/>
      <c r="WIJ129" s="18"/>
      <c r="WIK129" s="18"/>
      <c r="WIL129" s="18"/>
      <c r="WIM129" s="18"/>
      <c r="WIN129" s="18"/>
      <c r="WIO129" s="18"/>
      <c r="WIP129" s="18"/>
      <c r="WIQ129" s="18"/>
      <c r="WIR129" s="18"/>
      <c r="WIS129" s="18"/>
      <c r="WIT129" s="18"/>
      <c r="WIU129" s="18"/>
      <c r="WIV129" s="18"/>
      <c r="WIW129" s="18"/>
      <c r="WIX129" s="18"/>
      <c r="WIY129" s="18"/>
      <c r="WIZ129" s="18"/>
      <c r="WJA129" s="18"/>
      <c r="WJB129" s="18"/>
      <c r="WJC129" s="18"/>
      <c r="WJD129" s="18"/>
      <c r="WJE129" s="18"/>
      <c r="WJF129" s="18"/>
      <c r="WJG129" s="18"/>
      <c r="WJH129" s="18"/>
      <c r="WJI129" s="18"/>
      <c r="WJJ129" s="18"/>
      <c r="WJK129" s="18"/>
      <c r="WJL129" s="18"/>
      <c r="WJM129" s="18"/>
      <c r="WJN129" s="18"/>
      <c r="WJO129" s="18"/>
      <c r="WJP129" s="18"/>
      <c r="WJQ129" s="18"/>
      <c r="WJR129" s="18"/>
      <c r="WJS129" s="18"/>
      <c r="WJT129" s="18"/>
      <c r="WJU129" s="18"/>
      <c r="WJV129" s="18"/>
      <c r="WJW129" s="18"/>
      <c r="WJX129" s="18"/>
      <c r="WJY129" s="18"/>
      <c r="WJZ129" s="18"/>
      <c r="WKA129" s="18"/>
      <c r="WKB129" s="18"/>
      <c r="WKC129" s="18"/>
      <c r="WKD129" s="18"/>
      <c r="WKE129" s="18"/>
      <c r="WKF129" s="18"/>
      <c r="WKG129" s="18"/>
      <c r="WKH129" s="18"/>
      <c r="WKI129" s="18"/>
      <c r="WKJ129" s="18"/>
      <c r="WKK129" s="18"/>
      <c r="WKL129" s="18"/>
      <c r="WKM129" s="18"/>
      <c r="WKN129" s="18"/>
      <c r="WKO129" s="18"/>
      <c r="WKP129" s="18"/>
      <c r="WKQ129" s="18"/>
      <c r="WKR129" s="18"/>
      <c r="WKS129" s="18"/>
      <c r="WKT129" s="18"/>
      <c r="WKU129" s="18"/>
      <c r="WKV129" s="18"/>
      <c r="WKW129" s="18"/>
      <c r="WKX129" s="18"/>
      <c r="WKY129" s="18"/>
      <c r="WKZ129" s="18"/>
      <c r="WLA129" s="18"/>
      <c r="WLB129" s="18"/>
      <c r="WLC129" s="18"/>
      <c r="WLD129" s="18"/>
      <c r="WLE129" s="18"/>
      <c r="WLF129" s="18"/>
      <c r="WLG129" s="18"/>
      <c r="WLH129" s="18"/>
      <c r="WLI129" s="18"/>
      <c r="WLJ129" s="18"/>
      <c r="WLK129" s="18"/>
      <c r="WLL129" s="18"/>
      <c r="WLM129" s="18"/>
      <c r="WLN129" s="18"/>
      <c r="WLO129" s="18"/>
      <c r="WLP129" s="18"/>
      <c r="WLQ129" s="18"/>
      <c r="WLR129" s="18"/>
      <c r="WLS129" s="18"/>
      <c r="WLT129" s="18"/>
      <c r="WLU129" s="18"/>
      <c r="WLV129" s="18"/>
      <c r="WLW129" s="18"/>
      <c r="WLX129" s="18"/>
      <c r="WLY129" s="18"/>
      <c r="WLZ129" s="18"/>
      <c r="WMA129" s="18"/>
      <c r="WMB129" s="18"/>
      <c r="WMC129" s="18"/>
      <c r="WMD129" s="18"/>
      <c r="WME129" s="18"/>
      <c r="WMF129" s="18"/>
      <c r="WMG129" s="18"/>
      <c r="WMH129" s="18"/>
      <c r="WMI129" s="18"/>
      <c r="WMJ129" s="18"/>
      <c r="WMK129" s="18"/>
      <c r="WML129" s="18"/>
      <c r="WMM129" s="18"/>
      <c r="WMN129" s="18"/>
      <c r="WMO129" s="18"/>
      <c r="WMP129" s="18"/>
      <c r="WMQ129" s="18"/>
      <c r="WMR129" s="18"/>
      <c r="WMS129" s="18"/>
      <c r="WMT129" s="18"/>
      <c r="WMU129" s="18"/>
      <c r="WMV129" s="18"/>
      <c r="WMW129" s="18"/>
      <c r="WMX129" s="18"/>
      <c r="WMY129" s="18"/>
      <c r="WMZ129" s="18"/>
      <c r="WNA129" s="18"/>
      <c r="WNB129" s="18"/>
      <c r="WNC129" s="18"/>
      <c r="WND129" s="18"/>
      <c r="WNE129" s="18"/>
      <c r="WNF129" s="18"/>
      <c r="WNG129" s="18"/>
      <c r="WNH129" s="18"/>
      <c r="WNI129" s="18"/>
      <c r="WNJ129" s="18"/>
      <c r="WNK129" s="18"/>
      <c r="WNL129" s="18"/>
      <c r="WNM129" s="18"/>
      <c r="WNN129" s="18"/>
      <c r="WNO129" s="18"/>
      <c r="WNP129" s="18"/>
      <c r="WNQ129" s="18"/>
      <c r="WNR129" s="18"/>
      <c r="WNS129" s="18"/>
      <c r="WNT129" s="18"/>
      <c r="WNU129" s="18"/>
      <c r="WNV129" s="18"/>
      <c r="WNW129" s="18"/>
      <c r="WNX129" s="18"/>
      <c r="WNY129" s="18"/>
      <c r="WNZ129" s="18"/>
      <c r="WOA129" s="18"/>
      <c r="WOB129" s="18"/>
      <c r="WOC129" s="18"/>
      <c r="WOD129" s="18"/>
      <c r="WOE129" s="18"/>
      <c r="WOF129" s="18"/>
      <c r="WOG129" s="18"/>
      <c r="WOH129" s="18"/>
      <c r="WOI129" s="18"/>
      <c r="WOJ129" s="18"/>
      <c r="WOK129" s="18"/>
      <c r="WOL129" s="18"/>
      <c r="WOM129" s="18"/>
      <c r="WON129" s="18"/>
      <c r="WOO129" s="18"/>
      <c r="WOP129" s="18"/>
      <c r="WOQ129" s="18"/>
      <c r="WOR129" s="18"/>
      <c r="WOS129" s="18"/>
      <c r="WOT129" s="18"/>
      <c r="WOU129" s="18"/>
      <c r="WOV129" s="18"/>
      <c r="WOW129" s="18"/>
      <c r="WOX129" s="18"/>
      <c r="WOY129" s="18"/>
      <c r="WOZ129" s="18"/>
      <c r="WPA129" s="18"/>
      <c r="WPB129" s="18"/>
      <c r="WPC129" s="18"/>
      <c r="WPD129" s="18"/>
      <c r="WPE129" s="18"/>
      <c r="WPF129" s="18"/>
      <c r="WPG129" s="18"/>
      <c r="WPH129" s="18"/>
      <c r="WPI129" s="18"/>
      <c r="WPJ129" s="18"/>
      <c r="WPK129" s="18"/>
      <c r="WPL129" s="18"/>
      <c r="WPM129" s="18"/>
      <c r="WPN129" s="18"/>
      <c r="WPO129" s="18"/>
      <c r="WPP129" s="18"/>
      <c r="WPQ129" s="18"/>
      <c r="WPR129" s="18"/>
      <c r="WPS129" s="18"/>
      <c r="WPT129" s="18"/>
      <c r="WPU129" s="18"/>
      <c r="WPV129" s="18"/>
      <c r="WPW129" s="18"/>
      <c r="WPX129" s="18"/>
      <c r="WPY129" s="18"/>
      <c r="WPZ129" s="18"/>
      <c r="WQA129" s="18"/>
      <c r="WQB129" s="18"/>
      <c r="WQC129" s="18"/>
      <c r="WQD129" s="18"/>
      <c r="WQE129" s="18"/>
      <c r="WQF129" s="18"/>
      <c r="WQG129" s="18"/>
      <c r="WQH129" s="18"/>
      <c r="WQI129" s="18"/>
      <c r="WQJ129" s="18"/>
      <c r="WQK129" s="18"/>
      <c r="WQL129" s="18"/>
      <c r="WQM129" s="18"/>
      <c r="WQN129" s="18"/>
      <c r="WQO129" s="18"/>
      <c r="WQP129" s="18"/>
      <c r="WQQ129" s="18"/>
      <c r="WQR129" s="18"/>
      <c r="WQS129" s="18"/>
      <c r="WQT129" s="18"/>
      <c r="WQU129" s="18"/>
      <c r="WQV129" s="18"/>
      <c r="WQW129" s="18"/>
      <c r="WQX129" s="18"/>
      <c r="WQY129" s="18"/>
      <c r="WQZ129" s="18"/>
      <c r="WRA129" s="18"/>
      <c r="WRB129" s="18"/>
      <c r="WRC129" s="18"/>
      <c r="WRD129" s="18"/>
      <c r="WRE129" s="18"/>
      <c r="WRF129" s="18"/>
      <c r="WRG129" s="18"/>
      <c r="WRH129" s="18"/>
      <c r="WRI129" s="18"/>
      <c r="WRJ129" s="18"/>
      <c r="WRK129" s="18"/>
      <c r="WRL129" s="18"/>
      <c r="WRM129" s="18"/>
      <c r="WRN129" s="18"/>
      <c r="WRO129" s="18"/>
      <c r="WRP129" s="18"/>
      <c r="WRQ129" s="18"/>
      <c r="WRR129" s="18"/>
      <c r="WRS129" s="18"/>
      <c r="WRT129" s="18"/>
      <c r="WRU129" s="18"/>
      <c r="WRV129" s="18"/>
      <c r="WRW129" s="18"/>
      <c r="WRX129" s="18"/>
      <c r="WRY129" s="18"/>
      <c r="WRZ129" s="18"/>
      <c r="WSA129" s="18"/>
      <c r="WSB129" s="18"/>
      <c r="WSC129" s="18"/>
      <c r="WSD129" s="18"/>
      <c r="WSE129" s="18"/>
      <c r="WSF129" s="18"/>
      <c r="WSG129" s="18"/>
      <c r="WSH129" s="18"/>
      <c r="WSI129" s="18"/>
      <c r="WSJ129" s="18"/>
      <c r="WSK129" s="18"/>
      <c r="WSL129" s="18"/>
      <c r="WSM129" s="18"/>
      <c r="WSN129" s="18"/>
      <c r="WSO129" s="18"/>
      <c r="WSP129" s="18"/>
      <c r="WSQ129" s="18"/>
      <c r="WSR129" s="18"/>
      <c r="WSS129" s="18"/>
      <c r="WST129" s="18"/>
      <c r="WSU129" s="18"/>
      <c r="WSV129" s="18"/>
      <c r="WSW129" s="18"/>
      <c r="WSX129" s="18"/>
      <c r="WSY129" s="18"/>
      <c r="WSZ129" s="18"/>
      <c r="WTA129" s="18"/>
      <c r="WTB129" s="18"/>
      <c r="WTC129" s="18"/>
      <c r="WTD129" s="18"/>
      <c r="WTE129" s="18"/>
      <c r="WTF129" s="18"/>
      <c r="WTG129" s="18"/>
      <c r="WTH129" s="18"/>
      <c r="WTI129" s="18"/>
      <c r="WTJ129" s="18"/>
      <c r="WTK129" s="18"/>
      <c r="WTL129" s="18"/>
      <c r="WTM129" s="18"/>
      <c r="WTN129" s="18"/>
      <c r="WTO129" s="18"/>
      <c r="WTP129" s="18"/>
      <c r="WTQ129" s="18"/>
      <c r="WTR129" s="18"/>
      <c r="WTS129" s="18"/>
      <c r="WTT129" s="18"/>
      <c r="WTU129" s="18"/>
      <c r="WTV129" s="18"/>
      <c r="WTW129" s="18"/>
      <c r="WTX129" s="18"/>
      <c r="WTY129" s="18"/>
      <c r="WTZ129" s="18"/>
      <c r="WUA129" s="18"/>
      <c r="WUB129" s="18"/>
      <c r="WUC129" s="18"/>
      <c r="WUD129" s="18"/>
      <c r="WUE129" s="18"/>
      <c r="WUF129" s="18"/>
      <c r="WUG129" s="18"/>
      <c r="WUH129" s="18"/>
      <c r="WUI129" s="18"/>
      <c r="WUJ129" s="18"/>
      <c r="WUK129" s="18"/>
      <c r="WUL129" s="18"/>
      <c r="WUM129" s="18"/>
      <c r="WUN129" s="18"/>
      <c r="WUO129" s="18"/>
      <c r="WUP129" s="18"/>
      <c r="WUQ129" s="18"/>
      <c r="WUR129" s="18"/>
      <c r="WUS129" s="18"/>
      <c r="WUT129" s="18"/>
      <c r="WUU129" s="18"/>
      <c r="WUV129" s="18"/>
      <c r="WUW129" s="18"/>
      <c r="WUX129" s="18"/>
      <c r="WUY129" s="18"/>
      <c r="WUZ129" s="18"/>
      <c r="WVA129" s="18"/>
      <c r="WVB129" s="18"/>
      <c r="WVC129" s="18"/>
      <c r="WVD129" s="18"/>
      <c r="WVE129" s="18"/>
      <c r="WVF129" s="18"/>
      <c r="WVG129" s="18"/>
      <c r="WVH129" s="18"/>
      <c r="WVI129" s="18"/>
      <c r="WVJ129" s="18"/>
      <c r="WVK129" s="18"/>
      <c r="WVL129" s="18"/>
      <c r="WVM129" s="18"/>
      <c r="WVN129" s="18"/>
      <c r="WVO129" s="18"/>
      <c r="WVP129" s="18"/>
      <c r="WVQ129" s="18"/>
      <c r="WVR129" s="18"/>
      <c r="WVS129" s="18"/>
      <c r="WVT129" s="18"/>
      <c r="WVU129" s="18"/>
      <c r="WVV129" s="18"/>
      <c r="WVW129" s="18"/>
      <c r="WVX129" s="18"/>
      <c r="WVY129" s="18"/>
      <c r="WVZ129" s="18"/>
      <c r="WWA129" s="18"/>
      <c r="WWB129" s="18"/>
      <c r="WWC129" s="18"/>
      <c r="WWD129" s="18"/>
      <c r="WWE129" s="18"/>
      <c r="WWF129" s="18"/>
      <c r="WWG129" s="18"/>
      <c r="WWH129" s="18"/>
      <c r="WWI129" s="18"/>
      <c r="WWJ129" s="18"/>
      <c r="WWK129" s="18"/>
      <c r="WWL129" s="18"/>
      <c r="WWM129" s="18"/>
      <c r="WWN129" s="18"/>
      <c r="WWO129" s="18"/>
      <c r="WWP129" s="18"/>
      <c r="WWQ129" s="18"/>
      <c r="WWR129" s="18"/>
      <c r="WWS129" s="18"/>
      <c r="WWT129" s="18"/>
      <c r="WWU129" s="18"/>
      <c r="WWV129" s="18"/>
      <c r="WWW129" s="18"/>
      <c r="WWX129" s="18"/>
      <c r="WWY129" s="18"/>
      <c r="WWZ129" s="18"/>
      <c r="WXA129" s="18"/>
      <c r="WXB129" s="18"/>
      <c r="WXC129" s="18"/>
      <c r="WXD129" s="18"/>
      <c r="WXE129" s="18"/>
      <c r="WXF129" s="18"/>
      <c r="WXG129" s="18"/>
      <c r="WXH129" s="18"/>
      <c r="WXI129" s="18"/>
      <c r="WXJ129" s="18"/>
      <c r="WXK129" s="18"/>
      <c r="WXL129" s="18"/>
      <c r="WXM129" s="18"/>
      <c r="WXN129" s="18"/>
      <c r="WXO129" s="18"/>
      <c r="WXP129" s="18"/>
      <c r="WXQ129" s="18"/>
      <c r="WXR129" s="18"/>
      <c r="WXS129" s="18"/>
      <c r="WXT129" s="18"/>
      <c r="WXU129" s="18"/>
      <c r="WXV129" s="18"/>
      <c r="WXW129" s="18"/>
      <c r="WXX129" s="18"/>
      <c r="WXY129" s="18"/>
      <c r="WXZ129" s="18"/>
      <c r="WYA129" s="18"/>
      <c r="WYB129" s="18"/>
      <c r="WYC129" s="18"/>
      <c r="WYD129" s="18"/>
      <c r="WYE129" s="18"/>
      <c r="WYF129" s="18"/>
      <c r="WYG129" s="18"/>
      <c r="WYH129" s="18"/>
      <c r="WYI129" s="18"/>
      <c r="WYJ129" s="18"/>
      <c r="WYK129" s="18"/>
      <c r="WYL129" s="18"/>
      <c r="WYM129" s="18"/>
      <c r="WYN129" s="18"/>
      <c r="WYO129" s="18"/>
      <c r="WYP129" s="18"/>
      <c r="WYQ129" s="18"/>
      <c r="WYR129" s="18"/>
      <c r="WYS129" s="18"/>
      <c r="WYT129" s="18"/>
      <c r="WYU129" s="18"/>
      <c r="WYV129" s="18"/>
      <c r="WYW129" s="18"/>
      <c r="WYX129" s="18"/>
      <c r="WYY129" s="18"/>
      <c r="WYZ129" s="18"/>
      <c r="WZA129" s="18"/>
      <c r="WZB129" s="18"/>
      <c r="WZC129" s="18"/>
      <c r="WZD129" s="18"/>
      <c r="WZE129" s="18"/>
      <c r="WZF129" s="18"/>
      <c r="WZG129" s="18"/>
      <c r="WZH129" s="18"/>
      <c r="WZI129" s="18"/>
      <c r="WZJ129" s="18"/>
      <c r="WZK129" s="18"/>
      <c r="WZL129" s="18"/>
      <c r="WZM129" s="18"/>
      <c r="WZN129" s="18"/>
      <c r="WZO129" s="18"/>
      <c r="WZP129" s="18"/>
      <c r="WZQ129" s="18"/>
      <c r="WZR129" s="18"/>
      <c r="WZS129" s="18"/>
      <c r="WZT129" s="18"/>
      <c r="WZU129" s="18"/>
      <c r="WZV129" s="18"/>
      <c r="WZW129" s="18"/>
      <c r="WZX129" s="18"/>
      <c r="WZY129" s="18"/>
      <c r="WZZ129" s="18"/>
      <c r="XAA129" s="18"/>
      <c r="XAB129" s="18"/>
      <c r="XAC129" s="18"/>
      <c r="XAD129" s="18"/>
      <c r="XAE129" s="18"/>
      <c r="XAF129" s="18"/>
      <c r="XAG129" s="18"/>
      <c r="XAH129" s="18"/>
      <c r="XAI129" s="18"/>
      <c r="XAJ129" s="18"/>
      <c r="XAK129" s="18"/>
      <c r="XAL129" s="18"/>
      <c r="XAM129" s="18"/>
      <c r="XAN129" s="18"/>
      <c r="XAO129" s="18"/>
      <c r="XAP129" s="18"/>
      <c r="XAQ129" s="18"/>
      <c r="XAR129" s="18"/>
      <c r="XAS129" s="18"/>
      <c r="XAT129" s="18"/>
      <c r="XAU129" s="18"/>
      <c r="XAV129" s="18"/>
      <c r="XAW129" s="18"/>
      <c r="XAX129" s="18"/>
      <c r="XAY129" s="18"/>
      <c r="XAZ129" s="18"/>
      <c r="XBA129" s="18"/>
      <c r="XBB129" s="18"/>
      <c r="XBC129" s="18"/>
      <c r="XBD129" s="18"/>
      <c r="XBE129" s="18"/>
      <c r="XBF129" s="18"/>
      <c r="XBG129" s="18"/>
      <c r="XBH129" s="18"/>
      <c r="XBI129" s="18"/>
      <c r="XBJ129" s="18"/>
      <c r="XBK129" s="18"/>
    </row>
    <row r="130" spans="1:16287" ht="14.1" customHeight="1" thickTop="1" x14ac:dyDescent="0.3"/>
  </sheetData>
  <sheetProtection algorithmName="SHA-512" hashValue="kZQZbkCelloeDM/vJTJa9sgeEdCiD+zJl7jPTTSRenCpfFWpZB+JYjQ/eQmGLDEx+EWfCZdXmw4sGskPYE+8vw==" saltValue="TCLhl86yxfeGlrgRW17p2Q==" spinCount="100000" sheet="1" objects="1" scenarios="1"/>
  <mergeCells count="4">
    <mergeCell ref="A1:D1"/>
    <mergeCell ref="A2:D2"/>
    <mergeCell ref="A3:C3"/>
    <mergeCell ref="A129:B129"/>
  </mergeCells>
  <pageMargins left="0.7" right="0.7" top="0.75" bottom="0.75" header="0.3" footer="0.3"/>
  <pageSetup paperSize="9" scale="8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2009-08-31T01:45:14Z</outs:dateTime>
      <outs:isPinned>true</outs:isPinned>
    </outs:relatedDate>
    <outs:relatedDate>
      <outs:type>2</outs:type>
      <outs:displayName>Created</outs:displayName>
      <outs:dateTime>2008-09-22T19:52:20Z</outs:dateTime>
      <outs:isPinned>true</outs:isPinned>
    </outs:relatedDate>
    <outs:relatedDate>
      <outs:type>4</outs:type>
      <outs:displayName>Last Printed</outs:displayName>
      <outs:dateTime>2009-08-27T11:02:23Z</outs:dateTime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frontanilla.ricardo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HUGO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9BCC9E7D-3A03-49CE-9991-446D3892DF3D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FORM5</vt:lpstr>
      <vt:lpstr>RESUMEN PARTIDAS 2026</vt:lpstr>
      <vt:lpstr>'RESUMEN PARTIDAS 2026'!Área_de_impresión</vt:lpstr>
    </vt:vector>
  </TitlesOfParts>
  <Manager>Wilmer Mendoza Trujillo</Manager>
  <Company>Dpto. Nal. de Planificacion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FORMULARIO N° 5</dc:title>
  <dc:subject>Requerimientos</dc:subject>
  <dc:creator>Wmendoza7</dc:creator>
  <cp:lastModifiedBy>Carmen Rosa Michel Vargas</cp:lastModifiedBy>
  <cp:lastPrinted>2025-06-26T18:57:56Z</cp:lastPrinted>
  <dcterms:created xsi:type="dcterms:W3CDTF">2008-09-22T19:52:20Z</dcterms:created>
  <dcterms:modified xsi:type="dcterms:W3CDTF">2025-07-08T15:24:50Z</dcterms:modified>
</cp:coreProperties>
</file>
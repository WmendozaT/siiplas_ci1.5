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B5A2A41-FD14-47D7-B73E-D6CBC77382E0}" xr6:coauthVersionLast="47" xr6:coauthVersionMax="47" xr10:uidLastSave="{00000000-0000-0000-0000-000000000000}"/>
  <bookViews>
    <workbookView xWindow="-108" yWindow="-108" windowWidth="23256" windowHeight="12456" tabRatio="983" activeTab="1" xr2:uid="{00000000-000D-0000-FFFF-FFFF00000000}"/>
  </bookViews>
  <sheets>
    <sheet name="PROYECTOS CON REQUISITOS 10 (2)" sheetId="4" r:id="rId1"/>
    <sheet name="PROYECTOS SIN REQUISITOS 10" sheetId="3" r:id="rId2"/>
  </sheets>
  <definedNames>
    <definedName name="_xlnm._FilterDatabase" localSheetId="0" hidden="1">'PROYECTOS CON REQUISITOS 10 (2)'!$B$3:$WVP$14</definedName>
    <definedName name="_xlnm._FilterDatabase" localSheetId="1" hidden="1">'PROYECTOS SIN REQUISITOS 10'!$B$3:$WVP$14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3" l="1"/>
  <c r="H14" i="3"/>
  <c r="I14" i="3"/>
  <c r="J14" i="3"/>
  <c r="F14" i="3"/>
  <c r="G14" i="4"/>
  <c r="H14" i="4"/>
  <c r="I14" i="4"/>
  <c r="J14" i="4"/>
  <c r="F8" i="4"/>
  <c r="F14" i="4" s="1"/>
  <c r="I10" i="3" l="1"/>
  <c r="H8" i="3"/>
</calcChain>
</file>

<file path=xl/sharedStrings.xml><?xml version="1.0" encoding="utf-8"?>
<sst xmlns="http://schemas.openxmlformats.org/spreadsheetml/2006/main" count="104" uniqueCount="62">
  <si>
    <t>NOMBRE DEL PROYECTO</t>
  </si>
  <si>
    <t>Codigo del Convenio</t>
  </si>
  <si>
    <t>COSTO DEL PROYECTO</t>
  </si>
  <si>
    <t>CONS. Y EQUIPAMIENTO HIS OBRERO LA PAZ</t>
  </si>
  <si>
    <t>CONST. CENTRO DE REHABILITACION FISICA ZONA MORROS BLANCOS - TJA</t>
  </si>
  <si>
    <t>CONST. POLICONSULTORIO PILOTO MIRAFLORES LA PAZ</t>
  </si>
  <si>
    <t>CONST. Y REFACCION LABORATORIO JAIME MENDOZA SUCRE</t>
  </si>
  <si>
    <t>COSNT. Y EQUIPAMIENTO CIS SALINAS DE GARCI MENDOZA - ORURO</t>
  </si>
  <si>
    <t>IMPL. SERV. MEDICOS Y ADMINISTRATIVOS A TRAVES DE TIC's NIVEL NACIONAL</t>
  </si>
  <si>
    <t>TOTAL</t>
  </si>
  <si>
    <t>CONST. BLOQUE CLINICO QUIRURGICO HODE OTORRINO OFTALMOLOGICO LA PAZ</t>
  </si>
  <si>
    <t>IMPL. CENTRO INTEGRAL DE MEDICINA FAMILIAR LOS ALMENDROS RIBERALTA</t>
  </si>
  <si>
    <t>PLURIANUAL</t>
  </si>
  <si>
    <t>POTOSI</t>
  </si>
  <si>
    <t>TARIJA</t>
  </si>
  <si>
    <t>SANTA CRUZ</t>
  </si>
  <si>
    <t>LA PAZ</t>
  </si>
  <si>
    <t>SUCRE</t>
  </si>
  <si>
    <t>ORURO</t>
  </si>
  <si>
    <t>RIBERALTA</t>
  </si>
  <si>
    <t>IMPL. DEL NUEVO MODULO CLINICO QUIRURGICO HISE LUIS URIA DE LA OLIVA LA PAZ</t>
  </si>
  <si>
    <t>OFICINA NAL.</t>
  </si>
  <si>
    <t>YACUIBA</t>
  </si>
  <si>
    <t>AMPLICACION AREA DE RESIDENCIA MEDICA H. O No 5 PTS</t>
  </si>
  <si>
    <t>IMPL. ESTABLECIMIENTO DE SALUD DE PRIMER NIVEL DE ATENCION CARACOLLO - ORURO</t>
  </si>
  <si>
    <t>REHAB. INTEGRAL SISTEMA ELÉCTRICO H.O. N° 15 YACUIBA</t>
  </si>
  <si>
    <t>ACREDITACION DEL HOSPITAL OBRERO No 5 POTOSI</t>
  </si>
  <si>
    <t>ACREDITACION SERVICIOS HISE OBRERO No 7 TARIJA</t>
  </si>
  <si>
    <t>CNST. E IMPLEMENTACION POLICLINICO COTOCA SANTA CRUZ</t>
  </si>
  <si>
    <t>CONST. CENTRO DE ENFERMEDADES CARDIACAS Y RENALES - SANTA CRUZ</t>
  </si>
  <si>
    <t>CONST. CENTRO INTEGRAL DE SALUD CIS COMARAPA SANTA CRUZ</t>
  </si>
  <si>
    <t>CONST. E IMPLEMENTACION POLICLINICO EL TORNO SANTA CRUZ</t>
  </si>
  <si>
    <t>IMPL. CENTRO INTEGRAL DE SALUD PORCO POTOSI</t>
  </si>
  <si>
    <t>IMPL. DE UNIDAD DE MEDICINA DEL TRABAJO POTOSI</t>
  </si>
  <si>
    <t xml:space="preserve">REGIONAL/
DISTRITAL </t>
  </si>
  <si>
    <t>N°</t>
  </si>
  <si>
    <t xml:space="preserve">PRESUPUESTO 
2023 </t>
  </si>
  <si>
    <t>ETAPA</t>
  </si>
  <si>
    <t>PREINVERSION</t>
  </si>
  <si>
    <t>EJECUCIÓN</t>
  </si>
  <si>
    <t xml:space="preserve">EJECUCION </t>
  </si>
  <si>
    <t>PRESENTA EL ITCP, TDRS, FORMULARIOS, MEMORIA DE CALCULO, ACTA DEL CONSEJO TÉCNICO REGIONAL E, INFORME DE LA PROGRAMACION DE LA EJECUCION FINANCIERA 2023</t>
  </si>
  <si>
    <t>PRESENTA EL ITCP, TDRS, FORMULARIOS, MEMORIA DE CALCULO, ACTA DEL CONSEJO TÉCNICO REGIONAL, E INFORME DE LA PROGRAMACION DE LA EJECUCION FINANCIERA 2023</t>
  </si>
  <si>
    <r>
      <rPr>
        <b/>
        <sz val="11"/>
        <rFont val="Calibri"/>
        <family val="2"/>
        <scheme val="minor"/>
      </rPr>
      <t>Nota.-</t>
    </r>
    <r>
      <rPr>
        <sz val="11"/>
        <rFont val="Calibri"/>
        <family val="2"/>
        <scheme val="minor"/>
      </rPr>
      <t xml:space="preserve"> los documentos solicitados en los meses de marzo y abril/2023, fueron sujetos a correcciones, los que se lograron consolidar hasta la tercera semana
 de mayo/2023, de acuerdo a los seguimientos periodicos.</t>
    </r>
  </si>
  <si>
    <t>SE APROBO EL EDTP, POR EL CONSEJO TÉCNICO NACIONAL MULTIDICIPLINARIO EN LA PRESENTE GESTIÓN 2023.</t>
  </si>
  <si>
    <t>LA CARPETA TÉCNICA SE ENCUENTRA SUJETA A COMPLEMENTACIONES Y AJUSTES POR PARTE LA REGIONAL DE ORURO, DE ACUERDO A LAS OBSERVACIONES EFECTUADAS EN REUNION SOSTENIDA CON LA UNIDAD SOLICITANTE.</t>
  </si>
  <si>
    <t>NO PRESENTO LOS REQUISITOS (ITCP,TDRS, FORMULARIOS, MEMORIAS DE CALCULO) Y ACTA DEL CONSEJO REGIONAL.</t>
  </si>
  <si>
    <t>NO PRESENTO LOS REQUISITOS (EDTP, FORMULARIOS, MEMORIAS DE CALCULO) Y ACTA DEL CONSEJO REGIONAL.</t>
  </si>
  <si>
    <t>DEBEN COMPLEMENTAR  EL EDTP, PROGRAMA MEDICO ARQUITECTONICO, PROGRAMA DE EQUIPAMIENTO, , EVALUACION AMBIENTAL  Y SOCIOECONOMICA.</t>
  </si>
  <si>
    <t xml:space="preserve">DEBEN COMPLEMENTAR  EL EDTP, PROGRAMA MEDICO ARQUITECTONICO, PROGRAMA DE EQUIPAMIENTO, , EVALUACION AMBIENTAL  Y SOCIOECONOMICA. 
SIN DERECHO PROPIETARIO, </t>
  </si>
  <si>
    <t xml:space="preserve">CORRESPONDE EL PROYECTO, A LA LEY DE PRIORIDADES 1189 ES LLAVE EN MANO </t>
  </si>
  <si>
    <t>LA REG. SANTA CRUZ, DEBE SUBSANAR EL ITCP Y COMPLEMENTAR EL EDTP, 
 PROGRAMA DE EQUIPAMIENTO, ,EVALUACION AMBIENTAL  Y SOCIOECONOMICA.</t>
  </si>
  <si>
    <t xml:space="preserve">PROYECTO CON CODIGO SISIN 417-04682-00000, TIENE ANTECEDENTES EN EL SISIN WEB, POR LO QUE NO ES NUEVO, LAS ACTAS DEL CONSEJO REGIONAL SE ENCUENTRAN DESACTUALIZADAS </t>
  </si>
  <si>
    <t xml:space="preserve">
PROYECTOS NUEVOS CON REQUISITOS 
CAJA NACIONAL DE SALUD - GESTIÓN 2023
Expresado en Bs.
</t>
  </si>
  <si>
    <t>LA UNIDAD SOLICITANTE COMPLEMENTA EL EDTP   DE ACUERDO A NORMA DE POR OBSERVACIONES EFECTUADAS POR EL CONSEJO TECNICO NACIONAL</t>
  </si>
  <si>
    <t xml:space="preserve">
PROYECTOS NUEVOS AUTORIZADOS DE LA INVERSIÓN PÚBLICA  SIN REQUISITOS
CAJA NACIONAL DE SALUD - GESTIÓN 2023
Expresado en Bs.
</t>
  </si>
  <si>
    <r>
      <rPr>
        <b/>
        <sz val="11"/>
        <rFont val="Calibri"/>
        <family val="2"/>
        <scheme val="minor"/>
      </rPr>
      <t>Nota.-</t>
    </r>
    <r>
      <rPr>
        <sz val="11"/>
        <rFont val="Calibri"/>
        <family val="2"/>
        <scheme val="minor"/>
      </rPr>
      <t xml:space="preserve"> Son 10 proyectos que no remitieron, la documentacion de respaldo para gestionar la modificacion presupuestario y posterior registro en el sisin web de la gestion 2023.</t>
    </r>
  </si>
  <si>
    <t xml:space="preserve">OBSERVACION </t>
  </si>
  <si>
    <t>SITUACION ACTUAL</t>
  </si>
  <si>
    <r>
      <t xml:space="preserve">PRESENTA EL ITCP, TDRS Y EL ACTA DEL CONSEJO REGIONAL </t>
    </r>
    <r>
      <rPr>
        <b/>
        <sz val="9"/>
        <rFont val="Century Gothic"/>
        <family val="2"/>
      </rPr>
      <t xml:space="preserve">DE LA PAZ DE LA GESTIÓN 2022 (NO ACTUALIZARON) </t>
    </r>
    <r>
      <rPr>
        <sz val="9"/>
        <rFont val="Century Gothic"/>
        <family val="2"/>
      </rPr>
      <t>, SOLO ACTUALIZARON LOS FORMULARIOS REQUISITOS SISIN , MEMORIA DE CALCULO,  E INFORME DE LA PROGRAMACION DE LA EJECUCION FINANCIERA 2023</t>
    </r>
  </si>
  <si>
    <r>
      <t xml:space="preserve">PRESENTA EL ITCP, TDRS Y EL ACTA DEL CONSEJO REGIONAL </t>
    </r>
    <r>
      <rPr>
        <b/>
        <sz val="9"/>
        <rFont val="Century Gothic"/>
        <family val="2"/>
      </rPr>
      <t>DE LA PAZ DE LA GESTIÓN 2022</t>
    </r>
    <r>
      <rPr>
        <sz val="9"/>
        <rFont val="Century Gothic"/>
        <family val="2"/>
      </rPr>
      <t xml:space="preserve">,  </t>
    </r>
    <r>
      <rPr>
        <b/>
        <sz val="9"/>
        <rFont val="Century Gothic"/>
        <family val="2"/>
      </rPr>
      <t>(NO ACTUALIZARON)</t>
    </r>
    <r>
      <rPr>
        <sz val="9"/>
        <rFont val="Century Gothic"/>
        <family val="2"/>
      </rPr>
      <t xml:space="preserve"> SOLO ACTUALIZARON LOS FORMULARIOS REQUISITOS SISIN , MEMORIA DE CALCULO,  E INFORME DE LA PROGRAMACION DE LA EJECUCION FINANCIERA 2023</t>
    </r>
  </si>
  <si>
    <r>
      <t xml:space="preserve">PRESENTA EL ITCP, TDRS Y EL ACTA DEL CONSEJO REGIONAL </t>
    </r>
    <r>
      <rPr>
        <b/>
        <sz val="9"/>
        <rFont val="Century Gothic"/>
        <family val="2"/>
      </rPr>
      <t>DE LA PAZ DE LA GESTIÓN 2022</t>
    </r>
    <r>
      <rPr>
        <sz val="9"/>
        <rFont val="Century Gothic"/>
        <family val="2"/>
      </rPr>
      <t>,</t>
    </r>
    <r>
      <rPr>
        <b/>
        <sz val="9"/>
        <rFont val="Century Gothic"/>
        <family val="2"/>
      </rPr>
      <t>(NO ACTUALIZARON</t>
    </r>
    <r>
      <rPr>
        <sz val="9"/>
        <rFont val="Century Gothic"/>
        <family val="2"/>
      </rPr>
      <t>) SOLO ACTUALIZARON LOS FORMULARIOS REQUISITOS SISIN , MEMORIA DE CALCULO,  E INFORME DE LA PROGRAMACION DE LA EJECUCION FINANCIERA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</si>
</sst>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  <font>
      <sz val="9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4" fontId="6" fillId="0" borderId="0" xfId="0" applyNumberFormat="1" applyFont="1" applyAlignment="1">
      <alignment vertical="center"/>
    </xf>
    <xf numFmtId="4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1" fontId="5" fillId="3" borderId="3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vertical="center"/>
    </xf>
    <xf numFmtId="3" fontId="5" fillId="3" borderId="3" xfId="0" applyNumberFormat="1" applyFont="1" applyFill="1" applyBorder="1" applyAlignment="1">
      <alignment vertical="center"/>
    </xf>
    <xf numFmtId="3" fontId="5" fillId="3" borderId="3" xfId="0" applyNumberFormat="1" applyFont="1" applyFill="1" applyBorder="1" applyAlignment="1">
      <alignment horizontal="center" vertical="center"/>
    </xf>
    <xf numFmtId="4" fontId="5" fillId="3" borderId="3" xfId="0" applyNumberFormat="1" applyFont="1" applyFill="1" applyBorder="1" applyAlignment="1">
      <alignment vertical="center"/>
    </xf>
    <xf numFmtId="4" fontId="2" fillId="3" borderId="0" xfId="0" applyNumberFormat="1" applyFont="1" applyFill="1" applyAlignment="1">
      <alignment vertical="center"/>
    </xf>
    <xf numFmtId="0" fontId="6" fillId="3" borderId="3" xfId="0" applyFont="1" applyFill="1" applyBorder="1" applyAlignment="1">
      <alignment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vertical="center"/>
    </xf>
    <xf numFmtId="3" fontId="3" fillId="3" borderId="3" xfId="0" applyNumberFormat="1" applyFont="1" applyFill="1" applyBorder="1" applyAlignment="1">
      <alignment vertical="center"/>
    </xf>
    <xf numFmtId="3" fontId="3" fillId="3" borderId="3" xfId="0" applyNumberFormat="1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vertical="center"/>
    </xf>
    <xf numFmtId="4" fontId="8" fillId="2" borderId="1" xfId="0" applyNumberFormat="1" applyFont="1" applyFill="1" applyBorder="1" applyAlignment="1">
      <alignment vertical="center"/>
    </xf>
    <xf numFmtId="1" fontId="5" fillId="0" borderId="4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942C-50AA-4C4E-97A9-EB8FC6375DE7}">
  <sheetPr>
    <tabColor theme="9" tint="-0.249977111117893"/>
  </sheetPr>
  <dimension ref="A1:K548"/>
  <sheetViews>
    <sheetView zoomScaleNormal="100" zoomScaleSheetLayoutView="160" workbookViewId="0">
      <selection activeCell="K11" sqref="K11"/>
    </sheetView>
  </sheetViews>
  <sheetFormatPr baseColWidth="10" defaultRowHeight="14.4" x14ac:dyDescent="0.3"/>
  <cols>
    <col min="1" max="1" width="3.6640625" style="2" customWidth="1"/>
    <col min="2" max="2" width="14.5546875" style="3" customWidth="1"/>
    <col min="3" max="3" width="24.44140625" style="2" customWidth="1"/>
    <col min="4" max="4" width="0.109375" style="4" customWidth="1"/>
    <col min="5" max="5" width="14.6640625" style="7" customWidth="1"/>
    <col min="6" max="6" width="12.6640625" style="4" customWidth="1"/>
    <col min="7" max="7" width="13.88671875" style="2" customWidth="1"/>
    <col min="8" max="8" width="12" style="2" customWidth="1"/>
    <col min="9" max="9" width="11.109375" style="2" customWidth="1"/>
    <col min="10" max="10" width="10.109375" style="2" customWidth="1"/>
    <col min="11" max="11" width="53.109375" style="2" customWidth="1"/>
    <col min="12" max="240" width="11.44140625" style="2"/>
    <col min="241" max="241" width="17.6640625" style="2" bestFit="1" customWidth="1"/>
    <col min="242" max="242" width="76.6640625" style="2" customWidth="1"/>
    <col min="243" max="244" width="11.44140625" style="2"/>
    <col min="245" max="245" width="13.6640625" style="2" bestFit="1" customWidth="1"/>
    <col min="246" max="251" width="11.44140625" style="2"/>
    <col min="252" max="252" width="12.6640625" style="2" bestFit="1" customWidth="1"/>
    <col min="253" max="254" width="11.44140625" style="2"/>
    <col min="255" max="255" width="12.6640625" style="2" bestFit="1" customWidth="1"/>
    <col min="256" max="257" width="13.6640625" style="2" bestFit="1" customWidth="1"/>
    <col min="258" max="258" width="16.88671875" style="2" customWidth="1"/>
    <col min="259" max="261" width="13.6640625" style="2" bestFit="1" customWidth="1"/>
    <col min="262" max="262" width="12.6640625" style="2" bestFit="1" customWidth="1"/>
    <col min="263" max="263" width="11.6640625" style="2" bestFit="1" customWidth="1"/>
    <col min="264" max="264" width="14.109375" style="2" bestFit="1" customWidth="1"/>
    <col min="265" max="496" width="11.44140625" style="2"/>
    <col min="497" max="497" width="17.6640625" style="2" bestFit="1" customWidth="1"/>
    <col min="498" max="498" width="76.6640625" style="2" customWidth="1"/>
    <col min="499" max="500" width="11.44140625" style="2"/>
    <col min="501" max="501" width="13.6640625" style="2" bestFit="1" customWidth="1"/>
    <col min="502" max="507" width="11.44140625" style="2"/>
    <col min="508" max="508" width="12.6640625" style="2" bestFit="1" customWidth="1"/>
    <col min="509" max="510" width="11.44140625" style="2"/>
    <col min="511" max="511" width="12.6640625" style="2" bestFit="1" customWidth="1"/>
    <col min="512" max="513" width="13.6640625" style="2" bestFit="1" customWidth="1"/>
    <col min="514" max="514" width="16.88671875" style="2" customWidth="1"/>
    <col min="515" max="517" width="13.6640625" style="2" bestFit="1" customWidth="1"/>
    <col min="518" max="518" width="12.6640625" style="2" bestFit="1" customWidth="1"/>
    <col min="519" max="519" width="11.6640625" style="2" bestFit="1" customWidth="1"/>
    <col min="520" max="520" width="14.109375" style="2" bestFit="1" customWidth="1"/>
    <col min="521" max="752" width="11.44140625" style="2"/>
    <col min="753" max="753" width="17.6640625" style="2" bestFit="1" customWidth="1"/>
    <col min="754" max="754" width="76.6640625" style="2" customWidth="1"/>
    <col min="755" max="756" width="11.44140625" style="2"/>
    <col min="757" max="757" width="13.6640625" style="2" bestFit="1" customWidth="1"/>
    <col min="758" max="763" width="11.44140625" style="2"/>
    <col min="764" max="764" width="12.6640625" style="2" bestFit="1" customWidth="1"/>
    <col min="765" max="766" width="11.44140625" style="2"/>
    <col min="767" max="767" width="12.6640625" style="2" bestFit="1" customWidth="1"/>
    <col min="768" max="769" width="13.6640625" style="2" bestFit="1" customWidth="1"/>
    <col min="770" max="770" width="16.88671875" style="2" customWidth="1"/>
    <col min="771" max="773" width="13.6640625" style="2" bestFit="1" customWidth="1"/>
    <col min="774" max="774" width="12.6640625" style="2" bestFit="1" customWidth="1"/>
    <col min="775" max="775" width="11.6640625" style="2" bestFit="1" customWidth="1"/>
    <col min="776" max="776" width="14.109375" style="2" bestFit="1" customWidth="1"/>
    <col min="777" max="1008" width="11.44140625" style="2"/>
    <col min="1009" max="1009" width="17.6640625" style="2" bestFit="1" customWidth="1"/>
    <col min="1010" max="1010" width="76.6640625" style="2" customWidth="1"/>
    <col min="1011" max="1012" width="11.44140625" style="2"/>
    <col min="1013" max="1013" width="13.6640625" style="2" bestFit="1" customWidth="1"/>
    <col min="1014" max="1019" width="11.44140625" style="2"/>
    <col min="1020" max="1020" width="12.6640625" style="2" bestFit="1" customWidth="1"/>
    <col min="1021" max="1022" width="11.44140625" style="2"/>
    <col min="1023" max="1023" width="12.6640625" style="2" bestFit="1" customWidth="1"/>
    <col min="1024" max="1025" width="13.6640625" style="2" bestFit="1" customWidth="1"/>
    <col min="1026" max="1026" width="16.88671875" style="2" customWidth="1"/>
    <col min="1027" max="1029" width="13.6640625" style="2" bestFit="1" customWidth="1"/>
    <col min="1030" max="1030" width="12.6640625" style="2" bestFit="1" customWidth="1"/>
    <col min="1031" max="1031" width="11.6640625" style="2" bestFit="1" customWidth="1"/>
    <col min="1032" max="1032" width="14.109375" style="2" bestFit="1" customWidth="1"/>
    <col min="1033" max="1264" width="11.44140625" style="2"/>
    <col min="1265" max="1265" width="17.6640625" style="2" bestFit="1" customWidth="1"/>
    <col min="1266" max="1266" width="76.6640625" style="2" customWidth="1"/>
    <col min="1267" max="1268" width="11.44140625" style="2"/>
    <col min="1269" max="1269" width="13.6640625" style="2" bestFit="1" customWidth="1"/>
    <col min="1270" max="1275" width="11.44140625" style="2"/>
    <col min="1276" max="1276" width="12.6640625" style="2" bestFit="1" customWidth="1"/>
    <col min="1277" max="1278" width="11.44140625" style="2"/>
    <col min="1279" max="1279" width="12.6640625" style="2" bestFit="1" customWidth="1"/>
    <col min="1280" max="1281" width="13.6640625" style="2" bestFit="1" customWidth="1"/>
    <col min="1282" max="1282" width="16.88671875" style="2" customWidth="1"/>
    <col min="1283" max="1285" width="13.6640625" style="2" bestFit="1" customWidth="1"/>
    <col min="1286" max="1286" width="12.6640625" style="2" bestFit="1" customWidth="1"/>
    <col min="1287" max="1287" width="11.6640625" style="2" bestFit="1" customWidth="1"/>
    <col min="1288" max="1288" width="14.109375" style="2" bestFit="1" customWidth="1"/>
    <col min="1289" max="1520" width="11.44140625" style="2"/>
    <col min="1521" max="1521" width="17.6640625" style="2" bestFit="1" customWidth="1"/>
    <col min="1522" max="1522" width="76.6640625" style="2" customWidth="1"/>
    <col min="1523" max="1524" width="11.44140625" style="2"/>
    <col min="1525" max="1525" width="13.6640625" style="2" bestFit="1" customWidth="1"/>
    <col min="1526" max="1531" width="11.44140625" style="2"/>
    <col min="1532" max="1532" width="12.6640625" style="2" bestFit="1" customWidth="1"/>
    <col min="1533" max="1534" width="11.44140625" style="2"/>
    <col min="1535" max="1535" width="12.6640625" style="2" bestFit="1" customWidth="1"/>
    <col min="1536" max="1537" width="13.6640625" style="2" bestFit="1" customWidth="1"/>
    <col min="1538" max="1538" width="16.88671875" style="2" customWidth="1"/>
    <col min="1539" max="1541" width="13.6640625" style="2" bestFit="1" customWidth="1"/>
    <col min="1542" max="1542" width="12.6640625" style="2" bestFit="1" customWidth="1"/>
    <col min="1543" max="1543" width="11.6640625" style="2" bestFit="1" customWidth="1"/>
    <col min="1544" max="1544" width="14.109375" style="2" bestFit="1" customWidth="1"/>
    <col min="1545" max="1776" width="11.44140625" style="2"/>
    <col min="1777" max="1777" width="17.6640625" style="2" bestFit="1" customWidth="1"/>
    <col min="1778" max="1778" width="76.6640625" style="2" customWidth="1"/>
    <col min="1779" max="1780" width="11.44140625" style="2"/>
    <col min="1781" max="1781" width="13.6640625" style="2" bestFit="1" customWidth="1"/>
    <col min="1782" max="1787" width="11.44140625" style="2"/>
    <col min="1788" max="1788" width="12.6640625" style="2" bestFit="1" customWidth="1"/>
    <col min="1789" max="1790" width="11.44140625" style="2"/>
    <col min="1791" max="1791" width="12.6640625" style="2" bestFit="1" customWidth="1"/>
    <col min="1792" max="1793" width="13.6640625" style="2" bestFit="1" customWidth="1"/>
    <col min="1794" max="1794" width="16.88671875" style="2" customWidth="1"/>
    <col min="1795" max="1797" width="13.6640625" style="2" bestFit="1" customWidth="1"/>
    <col min="1798" max="1798" width="12.6640625" style="2" bestFit="1" customWidth="1"/>
    <col min="1799" max="1799" width="11.6640625" style="2" bestFit="1" customWidth="1"/>
    <col min="1800" max="1800" width="14.109375" style="2" bestFit="1" customWidth="1"/>
    <col min="1801" max="2032" width="11.44140625" style="2"/>
    <col min="2033" max="2033" width="17.6640625" style="2" bestFit="1" customWidth="1"/>
    <col min="2034" max="2034" width="76.6640625" style="2" customWidth="1"/>
    <col min="2035" max="2036" width="11.44140625" style="2"/>
    <col min="2037" max="2037" width="13.6640625" style="2" bestFit="1" customWidth="1"/>
    <col min="2038" max="2043" width="11.44140625" style="2"/>
    <col min="2044" max="2044" width="12.6640625" style="2" bestFit="1" customWidth="1"/>
    <col min="2045" max="2046" width="11.44140625" style="2"/>
    <col min="2047" max="2047" width="12.6640625" style="2" bestFit="1" customWidth="1"/>
    <col min="2048" max="2049" width="13.6640625" style="2" bestFit="1" customWidth="1"/>
    <col min="2050" max="2050" width="16.88671875" style="2" customWidth="1"/>
    <col min="2051" max="2053" width="13.6640625" style="2" bestFit="1" customWidth="1"/>
    <col min="2054" max="2054" width="12.6640625" style="2" bestFit="1" customWidth="1"/>
    <col min="2055" max="2055" width="11.6640625" style="2" bestFit="1" customWidth="1"/>
    <col min="2056" max="2056" width="14.109375" style="2" bestFit="1" customWidth="1"/>
    <col min="2057" max="2288" width="11.44140625" style="2"/>
    <col min="2289" max="2289" width="17.6640625" style="2" bestFit="1" customWidth="1"/>
    <col min="2290" max="2290" width="76.6640625" style="2" customWidth="1"/>
    <col min="2291" max="2292" width="11.44140625" style="2"/>
    <col min="2293" max="2293" width="13.6640625" style="2" bestFit="1" customWidth="1"/>
    <col min="2294" max="2299" width="11.44140625" style="2"/>
    <col min="2300" max="2300" width="12.6640625" style="2" bestFit="1" customWidth="1"/>
    <col min="2301" max="2302" width="11.44140625" style="2"/>
    <col min="2303" max="2303" width="12.6640625" style="2" bestFit="1" customWidth="1"/>
    <col min="2304" max="2305" width="13.6640625" style="2" bestFit="1" customWidth="1"/>
    <col min="2306" max="2306" width="16.88671875" style="2" customWidth="1"/>
    <col min="2307" max="2309" width="13.6640625" style="2" bestFit="1" customWidth="1"/>
    <col min="2310" max="2310" width="12.6640625" style="2" bestFit="1" customWidth="1"/>
    <col min="2311" max="2311" width="11.6640625" style="2" bestFit="1" customWidth="1"/>
    <col min="2312" max="2312" width="14.109375" style="2" bestFit="1" customWidth="1"/>
    <col min="2313" max="2544" width="11.44140625" style="2"/>
    <col min="2545" max="2545" width="17.6640625" style="2" bestFit="1" customWidth="1"/>
    <col min="2546" max="2546" width="76.6640625" style="2" customWidth="1"/>
    <col min="2547" max="2548" width="11.44140625" style="2"/>
    <col min="2549" max="2549" width="13.6640625" style="2" bestFit="1" customWidth="1"/>
    <col min="2550" max="2555" width="11.44140625" style="2"/>
    <col min="2556" max="2556" width="12.6640625" style="2" bestFit="1" customWidth="1"/>
    <col min="2557" max="2558" width="11.44140625" style="2"/>
    <col min="2559" max="2559" width="12.6640625" style="2" bestFit="1" customWidth="1"/>
    <col min="2560" max="2561" width="13.6640625" style="2" bestFit="1" customWidth="1"/>
    <col min="2562" max="2562" width="16.88671875" style="2" customWidth="1"/>
    <col min="2563" max="2565" width="13.6640625" style="2" bestFit="1" customWidth="1"/>
    <col min="2566" max="2566" width="12.6640625" style="2" bestFit="1" customWidth="1"/>
    <col min="2567" max="2567" width="11.6640625" style="2" bestFit="1" customWidth="1"/>
    <col min="2568" max="2568" width="14.109375" style="2" bestFit="1" customWidth="1"/>
    <col min="2569" max="2800" width="11.44140625" style="2"/>
    <col min="2801" max="2801" width="17.6640625" style="2" bestFit="1" customWidth="1"/>
    <col min="2802" max="2802" width="76.6640625" style="2" customWidth="1"/>
    <col min="2803" max="2804" width="11.44140625" style="2"/>
    <col min="2805" max="2805" width="13.6640625" style="2" bestFit="1" customWidth="1"/>
    <col min="2806" max="2811" width="11.44140625" style="2"/>
    <col min="2812" max="2812" width="12.6640625" style="2" bestFit="1" customWidth="1"/>
    <col min="2813" max="2814" width="11.44140625" style="2"/>
    <col min="2815" max="2815" width="12.6640625" style="2" bestFit="1" customWidth="1"/>
    <col min="2816" max="2817" width="13.6640625" style="2" bestFit="1" customWidth="1"/>
    <col min="2818" max="2818" width="16.88671875" style="2" customWidth="1"/>
    <col min="2819" max="2821" width="13.6640625" style="2" bestFit="1" customWidth="1"/>
    <col min="2822" max="2822" width="12.6640625" style="2" bestFit="1" customWidth="1"/>
    <col min="2823" max="2823" width="11.6640625" style="2" bestFit="1" customWidth="1"/>
    <col min="2824" max="2824" width="14.109375" style="2" bestFit="1" customWidth="1"/>
    <col min="2825" max="3056" width="11.44140625" style="2"/>
    <col min="3057" max="3057" width="17.6640625" style="2" bestFit="1" customWidth="1"/>
    <col min="3058" max="3058" width="76.6640625" style="2" customWidth="1"/>
    <col min="3059" max="3060" width="11.44140625" style="2"/>
    <col min="3061" max="3061" width="13.6640625" style="2" bestFit="1" customWidth="1"/>
    <col min="3062" max="3067" width="11.44140625" style="2"/>
    <col min="3068" max="3068" width="12.6640625" style="2" bestFit="1" customWidth="1"/>
    <col min="3069" max="3070" width="11.44140625" style="2"/>
    <col min="3071" max="3071" width="12.6640625" style="2" bestFit="1" customWidth="1"/>
    <col min="3072" max="3073" width="13.6640625" style="2" bestFit="1" customWidth="1"/>
    <col min="3074" max="3074" width="16.88671875" style="2" customWidth="1"/>
    <col min="3075" max="3077" width="13.6640625" style="2" bestFit="1" customWidth="1"/>
    <col min="3078" max="3078" width="12.6640625" style="2" bestFit="1" customWidth="1"/>
    <col min="3079" max="3079" width="11.6640625" style="2" bestFit="1" customWidth="1"/>
    <col min="3080" max="3080" width="14.109375" style="2" bestFit="1" customWidth="1"/>
    <col min="3081" max="3312" width="11.44140625" style="2"/>
    <col min="3313" max="3313" width="17.6640625" style="2" bestFit="1" customWidth="1"/>
    <col min="3314" max="3314" width="76.6640625" style="2" customWidth="1"/>
    <col min="3315" max="3316" width="11.44140625" style="2"/>
    <col min="3317" max="3317" width="13.6640625" style="2" bestFit="1" customWidth="1"/>
    <col min="3318" max="3323" width="11.44140625" style="2"/>
    <col min="3324" max="3324" width="12.6640625" style="2" bestFit="1" customWidth="1"/>
    <col min="3325" max="3326" width="11.44140625" style="2"/>
    <col min="3327" max="3327" width="12.6640625" style="2" bestFit="1" customWidth="1"/>
    <col min="3328" max="3329" width="13.6640625" style="2" bestFit="1" customWidth="1"/>
    <col min="3330" max="3330" width="16.88671875" style="2" customWidth="1"/>
    <col min="3331" max="3333" width="13.6640625" style="2" bestFit="1" customWidth="1"/>
    <col min="3334" max="3334" width="12.6640625" style="2" bestFit="1" customWidth="1"/>
    <col min="3335" max="3335" width="11.6640625" style="2" bestFit="1" customWidth="1"/>
    <col min="3336" max="3336" width="14.109375" style="2" bestFit="1" customWidth="1"/>
    <col min="3337" max="3568" width="11.44140625" style="2"/>
    <col min="3569" max="3569" width="17.6640625" style="2" bestFit="1" customWidth="1"/>
    <col min="3570" max="3570" width="76.6640625" style="2" customWidth="1"/>
    <col min="3571" max="3572" width="11.44140625" style="2"/>
    <col min="3573" max="3573" width="13.6640625" style="2" bestFit="1" customWidth="1"/>
    <col min="3574" max="3579" width="11.44140625" style="2"/>
    <col min="3580" max="3580" width="12.6640625" style="2" bestFit="1" customWidth="1"/>
    <col min="3581" max="3582" width="11.44140625" style="2"/>
    <col min="3583" max="3583" width="12.6640625" style="2" bestFit="1" customWidth="1"/>
    <col min="3584" max="3585" width="13.6640625" style="2" bestFit="1" customWidth="1"/>
    <col min="3586" max="3586" width="16.88671875" style="2" customWidth="1"/>
    <col min="3587" max="3589" width="13.6640625" style="2" bestFit="1" customWidth="1"/>
    <col min="3590" max="3590" width="12.6640625" style="2" bestFit="1" customWidth="1"/>
    <col min="3591" max="3591" width="11.6640625" style="2" bestFit="1" customWidth="1"/>
    <col min="3592" max="3592" width="14.109375" style="2" bestFit="1" customWidth="1"/>
    <col min="3593" max="3824" width="11.44140625" style="2"/>
    <col min="3825" max="3825" width="17.6640625" style="2" bestFit="1" customWidth="1"/>
    <col min="3826" max="3826" width="76.6640625" style="2" customWidth="1"/>
    <col min="3827" max="3828" width="11.44140625" style="2"/>
    <col min="3829" max="3829" width="13.6640625" style="2" bestFit="1" customWidth="1"/>
    <col min="3830" max="3835" width="11.44140625" style="2"/>
    <col min="3836" max="3836" width="12.6640625" style="2" bestFit="1" customWidth="1"/>
    <col min="3837" max="3838" width="11.44140625" style="2"/>
    <col min="3839" max="3839" width="12.6640625" style="2" bestFit="1" customWidth="1"/>
    <col min="3840" max="3841" width="13.6640625" style="2" bestFit="1" customWidth="1"/>
    <col min="3842" max="3842" width="16.88671875" style="2" customWidth="1"/>
    <col min="3843" max="3845" width="13.6640625" style="2" bestFit="1" customWidth="1"/>
    <col min="3846" max="3846" width="12.6640625" style="2" bestFit="1" customWidth="1"/>
    <col min="3847" max="3847" width="11.6640625" style="2" bestFit="1" customWidth="1"/>
    <col min="3848" max="3848" width="14.109375" style="2" bestFit="1" customWidth="1"/>
    <col min="3849" max="4080" width="11.44140625" style="2"/>
    <col min="4081" max="4081" width="17.6640625" style="2" bestFit="1" customWidth="1"/>
    <col min="4082" max="4082" width="76.6640625" style="2" customWidth="1"/>
    <col min="4083" max="4084" width="11.44140625" style="2"/>
    <col min="4085" max="4085" width="13.6640625" style="2" bestFit="1" customWidth="1"/>
    <col min="4086" max="4091" width="11.44140625" style="2"/>
    <col min="4092" max="4092" width="12.6640625" style="2" bestFit="1" customWidth="1"/>
    <col min="4093" max="4094" width="11.44140625" style="2"/>
    <col min="4095" max="4095" width="12.6640625" style="2" bestFit="1" customWidth="1"/>
    <col min="4096" max="4097" width="13.6640625" style="2" bestFit="1" customWidth="1"/>
    <col min="4098" max="4098" width="16.88671875" style="2" customWidth="1"/>
    <col min="4099" max="4101" width="13.6640625" style="2" bestFit="1" customWidth="1"/>
    <col min="4102" max="4102" width="12.6640625" style="2" bestFit="1" customWidth="1"/>
    <col min="4103" max="4103" width="11.6640625" style="2" bestFit="1" customWidth="1"/>
    <col min="4104" max="4104" width="14.109375" style="2" bestFit="1" customWidth="1"/>
    <col min="4105" max="4336" width="11.44140625" style="2"/>
    <col min="4337" max="4337" width="17.6640625" style="2" bestFit="1" customWidth="1"/>
    <col min="4338" max="4338" width="76.6640625" style="2" customWidth="1"/>
    <col min="4339" max="4340" width="11.44140625" style="2"/>
    <col min="4341" max="4341" width="13.6640625" style="2" bestFit="1" customWidth="1"/>
    <col min="4342" max="4347" width="11.44140625" style="2"/>
    <col min="4348" max="4348" width="12.6640625" style="2" bestFit="1" customWidth="1"/>
    <col min="4349" max="4350" width="11.44140625" style="2"/>
    <col min="4351" max="4351" width="12.6640625" style="2" bestFit="1" customWidth="1"/>
    <col min="4352" max="4353" width="13.6640625" style="2" bestFit="1" customWidth="1"/>
    <col min="4354" max="4354" width="16.88671875" style="2" customWidth="1"/>
    <col min="4355" max="4357" width="13.6640625" style="2" bestFit="1" customWidth="1"/>
    <col min="4358" max="4358" width="12.6640625" style="2" bestFit="1" customWidth="1"/>
    <col min="4359" max="4359" width="11.6640625" style="2" bestFit="1" customWidth="1"/>
    <col min="4360" max="4360" width="14.109375" style="2" bestFit="1" customWidth="1"/>
    <col min="4361" max="4592" width="11.44140625" style="2"/>
    <col min="4593" max="4593" width="17.6640625" style="2" bestFit="1" customWidth="1"/>
    <col min="4594" max="4594" width="76.6640625" style="2" customWidth="1"/>
    <col min="4595" max="4596" width="11.44140625" style="2"/>
    <col min="4597" max="4597" width="13.6640625" style="2" bestFit="1" customWidth="1"/>
    <col min="4598" max="4603" width="11.44140625" style="2"/>
    <col min="4604" max="4604" width="12.6640625" style="2" bestFit="1" customWidth="1"/>
    <col min="4605" max="4606" width="11.44140625" style="2"/>
    <col min="4607" max="4607" width="12.6640625" style="2" bestFit="1" customWidth="1"/>
    <col min="4608" max="4609" width="13.6640625" style="2" bestFit="1" customWidth="1"/>
    <col min="4610" max="4610" width="16.88671875" style="2" customWidth="1"/>
    <col min="4611" max="4613" width="13.6640625" style="2" bestFit="1" customWidth="1"/>
    <col min="4614" max="4614" width="12.6640625" style="2" bestFit="1" customWidth="1"/>
    <col min="4615" max="4615" width="11.6640625" style="2" bestFit="1" customWidth="1"/>
    <col min="4616" max="4616" width="14.109375" style="2" bestFit="1" customWidth="1"/>
    <col min="4617" max="4848" width="11.44140625" style="2"/>
    <col min="4849" max="4849" width="17.6640625" style="2" bestFit="1" customWidth="1"/>
    <col min="4850" max="4850" width="76.6640625" style="2" customWidth="1"/>
    <col min="4851" max="4852" width="11.44140625" style="2"/>
    <col min="4853" max="4853" width="13.6640625" style="2" bestFit="1" customWidth="1"/>
    <col min="4854" max="4859" width="11.44140625" style="2"/>
    <col min="4860" max="4860" width="12.6640625" style="2" bestFit="1" customWidth="1"/>
    <col min="4861" max="4862" width="11.44140625" style="2"/>
    <col min="4863" max="4863" width="12.6640625" style="2" bestFit="1" customWidth="1"/>
    <col min="4864" max="4865" width="13.6640625" style="2" bestFit="1" customWidth="1"/>
    <col min="4866" max="4866" width="16.88671875" style="2" customWidth="1"/>
    <col min="4867" max="4869" width="13.6640625" style="2" bestFit="1" customWidth="1"/>
    <col min="4870" max="4870" width="12.6640625" style="2" bestFit="1" customWidth="1"/>
    <col min="4871" max="4871" width="11.6640625" style="2" bestFit="1" customWidth="1"/>
    <col min="4872" max="4872" width="14.109375" style="2" bestFit="1" customWidth="1"/>
    <col min="4873" max="5104" width="11.44140625" style="2"/>
    <col min="5105" max="5105" width="17.6640625" style="2" bestFit="1" customWidth="1"/>
    <col min="5106" max="5106" width="76.6640625" style="2" customWidth="1"/>
    <col min="5107" max="5108" width="11.44140625" style="2"/>
    <col min="5109" max="5109" width="13.6640625" style="2" bestFit="1" customWidth="1"/>
    <col min="5110" max="5115" width="11.44140625" style="2"/>
    <col min="5116" max="5116" width="12.6640625" style="2" bestFit="1" customWidth="1"/>
    <col min="5117" max="5118" width="11.44140625" style="2"/>
    <col min="5119" max="5119" width="12.6640625" style="2" bestFit="1" customWidth="1"/>
    <col min="5120" max="5121" width="13.6640625" style="2" bestFit="1" customWidth="1"/>
    <col min="5122" max="5122" width="16.88671875" style="2" customWidth="1"/>
    <col min="5123" max="5125" width="13.6640625" style="2" bestFit="1" customWidth="1"/>
    <col min="5126" max="5126" width="12.6640625" style="2" bestFit="1" customWidth="1"/>
    <col min="5127" max="5127" width="11.6640625" style="2" bestFit="1" customWidth="1"/>
    <col min="5128" max="5128" width="14.109375" style="2" bestFit="1" customWidth="1"/>
    <col min="5129" max="5360" width="11.44140625" style="2"/>
    <col min="5361" max="5361" width="17.6640625" style="2" bestFit="1" customWidth="1"/>
    <col min="5362" max="5362" width="76.6640625" style="2" customWidth="1"/>
    <col min="5363" max="5364" width="11.44140625" style="2"/>
    <col min="5365" max="5365" width="13.6640625" style="2" bestFit="1" customWidth="1"/>
    <col min="5366" max="5371" width="11.44140625" style="2"/>
    <col min="5372" max="5372" width="12.6640625" style="2" bestFit="1" customWidth="1"/>
    <col min="5373" max="5374" width="11.44140625" style="2"/>
    <col min="5375" max="5375" width="12.6640625" style="2" bestFit="1" customWidth="1"/>
    <col min="5376" max="5377" width="13.6640625" style="2" bestFit="1" customWidth="1"/>
    <col min="5378" max="5378" width="16.88671875" style="2" customWidth="1"/>
    <col min="5379" max="5381" width="13.6640625" style="2" bestFit="1" customWidth="1"/>
    <col min="5382" max="5382" width="12.6640625" style="2" bestFit="1" customWidth="1"/>
    <col min="5383" max="5383" width="11.6640625" style="2" bestFit="1" customWidth="1"/>
    <col min="5384" max="5384" width="14.109375" style="2" bestFit="1" customWidth="1"/>
    <col min="5385" max="5616" width="11.44140625" style="2"/>
    <col min="5617" max="5617" width="17.6640625" style="2" bestFit="1" customWidth="1"/>
    <col min="5618" max="5618" width="76.6640625" style="2" customWidth="1"/>
    <col min="5619" max="5620" width="11.44140625" style="2"/>
    <col min="5621" max="5621" width="13.6640625" style="2" bestFit="1" customWidth="1"/>
    <col min="5622" max="5627" width="11.44140625" style="2"/>
    <col min="5628" max="5628" width="12.6640625" style="2" bestFit="1" customWidth="1"/>
    <col min="5629" max="5630" width="11.44140625" style="2"/>
    <col min="5631" max="5631" width="12.6640625" style="2" bestFit="1" customWidth="1"/>
    <col min="5632" max="5633" width="13.6640625" style="2" bestFit="1" customWidth="1"/>
    <col min="5634" max="5634" width="16.88671875" style="2" customWidth="1"/>
    <col min="5635" max="5637" width="13.6640625" style="2" bestFit="1" customWidth="1"/>
    <col min="5638" max="5638" width="12.6640625" style="2" bestFit="1" customWidth="1"/>
    <col min="5639" max="5639" width="11.6640625" style="2" bestFit="1" customWidth="1"/>
    <col min="5640" max="5640" width="14.109375" style="2" bestFit="1" customWidth="1"/>
    <col min="5641" max="5872" width="11.44140625" style="2"/>
    <col min="5873" max="5873" width="17.6640625" style="2" bestFit="1" customWidth="1"/>
    <col min="5874" max="5874" width="76.6640625" style="2" customWidth="1"/>
    <col min="5875" max="5876" width="11.44140625" style="2"/>
    <col min="5877" max="5877" width="13.6640625" style="2" bestFit="1" customWidth="1"/>
    <col min="5878" max="5883" width="11.44140625" style="2"/>
    <col min="5884" max="5884" width="12.6640625" style="2" bestFit="1" customWidth="1"/>
    <col min="5885" max="5886" width="11.44140625" style="2"/>
    <col min="5887" max="5887" width="12.6640625" style="2" bestFit="1" customWidth="1"/>
    <col min="5888" max="5889" width="13.6640625" style="2" bestFit="1" customWidth="1"/>
    <col min="5890" max="5890" width="16.88671875" style="2" customWidth="1"/>
    <col min="5891" max="5893" width="13.6640625" style="2" bestFit="1" customWidth="1"/>
    <col min="5894" max="5894" width="12.6640625" style="2" bestFit="1" customWidth="1"/>
    <col min="5895" max="5895" width="11.6640625" style="2" bestFit="1" customWidth="1"/>
    <col min="5896" max="5896" width="14.109375" style="2" bestFit="1" customWidth="1"/>
    <col min="5897" max="6128" width="11.44140625" style="2"/>
    <col min="6129" max="6129" width="17.6640625" style="2" bestFit="1" customWidth="1"/>
    <col min="6130" max="6130" width="76.6640625" style="2" customWidth="1"/>
    <col min="6131" max="6132" width="11.44140625" style="2"/>
    <col min="6133" max="6133" width="13.6640625" style="2" bestFit="1" customWidth="1"/>
    <col min="6134" max="6139" width="11.44140625" style="2"/>
    <col min="6140" max="6140" width="12.6640625" style="2" bestFit="1" customWidth="1"/>
    <col min="6141" max="6142" width="11.44140625" style="2"/>
    <col min="6143" max="6143" width="12.6640625" style="2" bestFit="1" customWidth="1"/>
    <col min="6144" max="6145" width="13.6640625" style="2" bestFit="1" customWidth="1"/>
    <col min="6146" max="6146" width="16.88671875" style="2" customWidth="1"/>
    <col min="6147" max="6149" width="13.6640625" style="2" bestFit="1" customWidth="1"/>
    <col min="6150" max="6150" width="12.6640625" style="2" bestFit="1" customWidth="1"/>
    <col min="6151" max="6151" width="11.6640625" style="2" bestFit="1" customWidth="1"/>
    <col min="6152" max="6152" width="14.109375" style="2" bestFit="1" customWidth="1"/>
    <col min="6153" max="6384" width="11.44140625" style="2"/>
    <col min="6385" max="6385" width="17.6640625" style="2" bestFit="1" customWidth="1"/>
    <col min="6386" max="6386" width="76.6640625" style="2" customWidth="1"/>
    <col min="6387" max="6388" width="11.44140625" style="2"/>
    <col min="6389" max="6389" width="13.6640625" style="2" bestFit="1" customWidth="1"/>
    <col min="6390" max="6395" width="11.44140625" style="2"/>
    <col min="6396" max="6396" width="12.6640625" style="2" bestFit="1" customWidth="1"/>
    <col min="6397" max="6398" width="11.44140625" style="2"/>
    <col min="6399" max="6399" width="12.6640625" style="2" bestFit="1" customWidth="1"/>
    <col min="6400" max="6401" width="13.6640625" style="2" bestFit="1" customWidth="1"/>
    <col min="6402" max="6402" width="16.88671875" style="2" customWidth="1"/>
    <col min="6403" max="6405" width="13.6640625" style="2" bestFit="1" customWidth="1"/>
    <col min="6406" max="6406" width="12.6640625" style="2" bestFit="1" customWidth="1"/>
    <col min="6407" max="6407" width="11.6640625" style="2" bestFit="1" customWidth="1"/>
    <col min="6408" max="6408" width="14.109375" style="2" bestFit="1" customWidth="1"/>
    <col min="6409" max="6640" width="11.44140625" style="2"/>
    <col min="6641" max="6641" width="17.6640625" style="2" bestFit="1" customWidth="1"/>
    <col min="6642" max="6642" width="76.6640625" style="2" customWidth="1"/>
    <col min="6643" max="6644" width="11.44140625" style="2"/>
    <col min="6645" max="6645" width="13.6640625" style="2" bestFit="1" customWidth="1"/>
    <col min="6646" max="6651" width="11.44140625" style="2"/>
    <col min="6652" max="6652" width="12.6640625" style="2" bestFit="1" customWidth="1"/>
    <col min="6653" max="6654" width="11.44140625" style="2"/>
    <col min="6655" max="6655" width="12.6640625" style="2" bestFit="1" customWidth="1"/>
    <col min="6656" max="6657" width="13.6640625" style="2" bestFit="1" customWidth="1"/>
    <col min="6658" max="6658" width="16.88671875" style="2" customWidth="1"/>
    <col min="6659" max="6661" width="13.6640625" style="2" bestFit="1" customWidth="1"/>
    <col min="6662" max="6662" width="12.6640625" style="2" bestFit="1" customWidth="1"/>
    <col min="6663" max="6663" width="11.6640625" style="2" bestFit="1" customWidth="1"/>
    <col min="6664" max="6664" width="14.109375" style="2" bestFit="1" customWidth="1"/>
    <col min="6665" max="6896" width="11.44140625" style="2"/>
    <col min="6897" max="6897" width="17.6640625" style="2" bestFit="1" customWidth="1"/>
    <col min="6898" max="6898" width="76.6640625" style="2" customWidth="1"/>
    <col min="6899" max="6900" width="11.44140625" style="2"/>
    <col min="6901" max="6901" width="13.6640625" style="2" bestFit="1" customWidth="1"/>
    <col min="6902" max="6907" width="11.44140625" style="2"/>
    <col min="6908" max="6908" width="12.6640625" style="2" bestFit="1" customWidth="1"/>
    <col min="6909" max="6910" width="11.44140625" style="2"/>
    <col min="6911" max="6911" width="12.6640625" style="2" bestFit="1" customWidth="1"/>
    <col min="6912" max="6913" width="13.6640625" style="2" bestFit="1" customWidth="1"/>
    <col min="6914" max="6914" width="16.88671875" style="2" customWidth="1"/>
    <col min="6915" max="6917" width="13.6640625" style="2" bestFit="1" customWidth="1"/>
    <col min="6918" max="6918" width="12.6640625" style="2" bestFit="1" customWidth="1"/>
    <col min="6919" max="6919" width="11.6640625" style="2" bestFit="1" customWidth="1"/>
    <col min="6920" max="6920" width="14.109375" style="2" bestFit="1" customWidth="1"/>
    <col min="6921" max="7152" width="11.44140625" style="2"/>
    <col min="7153" max="7153" width="17.6640625" style="2" bestFit="1" customWidth="1"/>
    <col min="7154" max="7154" width="76.6640625" style="2" customWidth="1"/>
    <col min="7155" max="7156" width="11.44140625" style="2"/>
    <col min="7157" max="7157" width="13.6640625" style="2" bestFit="1" customWidth="1"/>
    <col min="7158" max="7163" width="11.44140625" style="2"/>
    <col min="7164" max="7164" width="12.6640625" style="2" bestFit="1" customWidth="1"/>
    <col min="7165" max="7166" width="11.44140625" style="2"/>
    <col min="7167" max="7167" width="12.6640625" style="2" bestFit="1" customWidth="1"/>
    <col min="7168" max="7169" width="13.6640625" style="2" bestFit="1" customWidth="1"/>
    <col min="7170" max="7170" width="16.88671875" style="2" customWidth="1"/>
    <col min="7171" max="7173" width="13.6640625" style="2" bestFit="1" customWidth="1"/>
    <col min="7174" max="7174" width="12.6640625" style="2" bestFit="1" customWidth="1"/>
    <col min="7175" max="7175" width="11.6640625" style="2" bestFit="1" customWidth="1"/>
    <col min="7176" max="7176" width="14.109375" style="2" bestFit="1" customWidth="1"/>
    <col min="7177" max="7408" width="11.44140625" style="2"/>
    <col min="7409" max="7409" width="17.6640625" style="2" bestFit="1" customWidth="1"/>
    <col min="7410" max="7410" width="76.6640625" style="2" customWidth="1"/>
    <col min="7411" max="7412" width="11.44140625" style="2"/>
    <col min="7413" max="7413" width="13.6640625" style="2" bestFit="1" customWidth="1"/>
    <col min="7414" max="7419" width="11.44140625" style="2"/>
    <col min="7420" max="7420" width="12.6640625" style="2" bestFit="1" customWidth="1"/>
    <col min="7421" max="7422" width="11.44140625" style="2"/>
    <col min="7423" max="7423" width="12.6640625" style="2" bestFit="1" customWidth="1"/>
    <col min="7424" max="7425" width="13.6640625" style="2" bestFit="1" customWidth="1"/>
    <col min="7426" max="7426" width="16.88671875" style="2" customWidth="1"/>
    <col min="7427" max="7429" width="13.6640625" style="2" bestFit="1" customWidth="1"/>
    <col min="7430" max="7430" width="12.6640625" style="2" bestFit="1" customWidth="1"/>
    <col min="7431" max="7431" width="11.6640625" style="2" bestFit="1" customWidth="1"/>
    <col min="7432" max="7432" width="14.109375" style="2" bestFit="1" customWidth="1"/>
    <col min="7433" max="7664" width="11.44140625" style="2"/>
    <col min="7665" max="7665" width="17.6640625" style="2" bestFit="1" customWidth="1"/>
    <col min="7666" max="7666" width="76.6640625" style="2" customWidth="1"/>
    <col min="7667" max="7668" width="11.44140625" style="2"/>
    <col min="7669" max="7669" width="13.6640625" style="2" bestFit="1" customWidth="1"/>
    <col min="7670" max="7675" width="11.44140625" style="2"/>
    <col min="7676" max="7676" width="12.6640625" style="2" bestFit="1" customWidth="1"/>
    <col min="7677" max="7678" width="11.44140625" style="2"/>
    <col min="7679" max="7679" width="12.6640625" style="2" bestFit="1" customWidth="1"/>
    <col min="7680" max="7681" width="13.6640625" style="2" bestFit="1" customWidth="1"/>
    <col min="7682" max="7682" width="16.88671875" style="2" customWidth="1"/>
    <col min="7683" max="7685" width="13.6640625" style="2" bestFit="1" customWidth="1"/>
    <col min="7686" max="7686" width="12.6640625" style="2" bestFit="1" customWidth="1"/>
    <col min="7687" max="7687" width="11.6640625" style="2" bestFit="1" customWidth="1"/>
    <col min="7688" max="7688" width="14.109375" style="2" bestFit="1" customWidth="1"/>
    <col min="7689" max="7920" width="11.44140625" style="2"/>
    <col min="7921" max="7921" width="17.6640625" style="2" bestFit="1" customWidth="1"/>
    <col min="7922" max="7922" width="76.6640625" style="2" customWidth="1"/>
    <col min="7923" max="7924" width="11.44140625" style="2"/>
    <col min="7925" max="7925" width="13.6640625" style="2" bestFit="1" customWidth="1"/>
    <col min="7926" max="7931" width="11.44140625" style="2"/>
    <col min="7932" max="7932" width="12.6640625" style="2" bestFit="1" customWidth="1"/>
    <col min="7933" max="7934" width="11.44140625" style="2"/>
    <col min="7935" max="7935" width="12.6640625" style="2" bestFit="1" customWidth="1"/>
    <col min="7936" max="7937" width="13.6640625" style="2" bestFit="1" customWidth="1"/>
    <col min="7938" max="7938" width="16.88671875" style="2" customWidth="1"/>
    <col min="7939" max="7941" width="13.6640625" style="2" bestFit="1" customWidth="1"/>
    <col min="7942" max="7942" width="12.6640625" style="2" bestFit="1" customWidth="1"/>
    <col min="7943" max="7943" width="11.6640625" style="2" bestFit="1" customWidth="1"/>
    <col min="7944" max="7944" width="14.109375" style="2" bestFit="1" customWidth="1"/>
    <col min="7945" max="8176" width="11.44140625" style="2"/>
    <col min="8177" max="8177" width="17.6640625" style="2" bestFit="1" customWidth="1"/>
    <col min="8178" max="8178" width="76.6640625" style="2" customWidth="1"/>
    <col min="8179" max="8180" width="11.44140625" style="2"/>
    <col min="8181" max="8181" width="13.6640625" style="2" bestFit="1" customWidth="1"/>
    <col min="8182" max="8187" width="11.44140625" style="2"/>
    <col min="8188" max="8188" width="12.6640625" style="2" bestFit="1" customWidth="1"/>
    <col min="8189" max="8190" width="11.44140625" style="2"/>
    <col min="8191" max="8191" width="12.6640625" style="2" bestFit="1" customWidth="1"/>
    <col min="8192" max="8193" width="13.6640625" style="2" bestFit="1" customWidth="1"/>
    <col min="8194" max="8194" width="16.88671875" style="2" customWidth="1"/>
    <col min="8195" max="8197" width="13.6640625" style="2" bestFit="1" customWidth="1"/>
    <col min="8198" max="8198" width="12.6640625" style="2" bestFit="1" customWidth="1"/>
    <col min="8199" max="8199" width="11.6640625" style="2" bestFit="1" customWidth="1"/>
    <col min="8200" max="8200" width="14.109375" style="2" bestFit="1" customWidth="1"/>
    <col min="8201" max="8432" width="11.44140625" style="2"/>
    <col min="8433" max="8433" width="17.6640625" style="2" bestFit="1" customWidth="1"/>
    <col min="8434" max="8434" width="76.6640625" style="2" customWidth="1"/>
    <col min="8435" max="8436" width="11.44140625" style="2"/>
    <col min="8437" max="8437" width="13.6640625" style="2" bestFit="1" customWidth="1"/>
    <col min="8438" max="8443" width="11.44140625" style="2"/>
    <col min="8444" max="8444" width="12.6640625" style="2" bestFit="1" customWidth="1"/>
    <col min="8445" max="8446" width="11.44140625" style="2"/>
    <col min="8447" max="8447" width="12.6640625" style="2" bestFit="1" customWidth="1"/>
    <col min="8448" max="8449" width="13.6640625" style="2" bestFit="1" customWidth="1"/>
    <col min="8450" max="8450" width="16.88671875" style="2" customWidth="1"/>
    <col min="8451" max="8453" width="13.6640625" style="2" bestFit="1" customWidth="1"/>
    <col min="8454" max="8454" width="12.6640625" style="2" bestFit="1" customWidth="1"/>
    <col min="8455" max="8455" width="11.6640625" style="2" bestFit="1" customWidth="1"/>
    <col min="8456" max="8456" width="14.109375" style="2" bestFit="1" customWidth="1"/>
    <col min="8457" max="8688" width="11.44140625" style="2"/>
    <col min="8689" max="8689" width="17.6640625" style="2" bestFit="1" customWidth="1"/>
    <col min="8690" max="8690" width="76.6640625" style="2" customWidth="1"/>
    <col min="8691" max="8692" width="11.44140625" style="2"/>
    <col min="8693" max="8693" width="13.6640625" style="2" bestFit="1" customWidth="1"/>
    <col min="8694" max="8699" width="11.44140625" style="2"/>
    <col min="8700" max="8700" width="12.6640625" style="2" bestFit="1" customWidth="1"/>
    <col min="8701" max="8702" width="11.44140625" style="2"/>
    <col min="8703" max="8703" width="12.6640625" style="2" bestFit="1" customWidth="1"/>
    <col min="8704" max="8705" width="13.6640625" style="2" bestFit="1" customWidth="1"/>
    <col min="8706" max="8706" width="16.88671875" style="2" customWidth="1"/>
    <col min="8707" max="8709" width="13.6640625" style="2" bestFit="1" customWidth="1"/>
    <col min="8710" max="8710" width="12.6640625" style="2" bestFit="1" customWidth="1"/>
    <col min="8711" max="8711" width="11.6640625" style="2" bestFit="1" customWidth="1"/>
    <col min="8712" max="8712" width="14.109375" style="2" bestFit="1" customWidth="1"/>
    <col min="8713" max="8944" width="11.44140625" style="2"/>
    <col min="8945" max="8945" width="17.6640625" style="2" bestFit="1" customWidth="1"/>
    <col min="8946" max="8946" width="76.6640625" style="2" customWidth="1"/>
    <col min="8947" max="8948" width="11.44140625" style="2"/>
    <col min="8949" max="8949" width="13.6640625" style="2" bestFit="1" customWidth="1"/>
    <col min="8950" max="8955" width="11.44140625" style="2"/>
    <col min="8956" max="8956" width="12.6640625" style="2" bestFit="1" customWidth="1"/>
    <col min="8957" max="8958" width="11.44140625" style="2"/>
    <col min="8959" max="8959" width="12.6640625" style="2" bestFit="1" customWidth="1"/>
    <col min="8960" max="8961" width="13.6640625" style="2" bestFit="1" customWidth="1"/>
    <col min="8962" max="8962" width="16.88671875" style="2" customWidth="1"/>
    <col min="8963" max="8965" width="13.6640625" style="2" bestFit="1" customWidth="1"/>
    <col min="8966" max="8966" width="12.6640625" style="2" bestFit="1" customWidth="1"/>
    <col min="8967" max="8967" width="11.6640625" style="2" bestFit="1" customWidth="1"/>
    <col min="8968" max="8968" width="14.109375" style="2" bestFit="1" customWidth="1"/>
    <col min="8969" max="9200" width="11.44140625" style="2"/>
    <col min="9201" max="9201" width="17.6640625" style="2" bestFit="1" customWidth="1"/>
    <col min="9202" max="9202" width="76.6640625" style="2" customWidth="1"/>
    <col min="9203" max="9204" width="11.44140625" style="2"/>
    <col min="9205" max="9205" width="13.6640625" style="2" bestFit="1" customWidth="1"/>
    <col min="9206" max="9211" width="11.44140625" style="2"/>
    <col min="9212" max="9212" width="12.6640625" style="2" bestFit="1" customWidth="1"/>
    <col min="9213" max="9214" width="11.44140625" style="2"/>
    <col min="9215" max="9215" width="12.6640625" style="2" bestFit="1" customWidth="1"/>
    <col min="9216" max="9217" width="13.6640625" style="2" bestFit="1" customWidth="1"/>
    <col min="9218" max="9218" width="16.88671875" style="2" customWidth="1"/>
    <col min="9219" max="9221" width="13.6640625" style="2" bestFit="1" customWidth="1"/>
    <col min="9222" max="9222" width="12.6640625" style="2" bestFit="1" customWidth="1"/>
    <col min="9223" max="9223" width="11.6640625" style="2" bestFit="1" customWidth="1"/>
    <col min="9224" max="9224" width="14.109375" style="2" bestFit="1" customWidth="1"/>
    <col min="9225" max="9456" width="11.44140625" style="2"/>
    <col min="9457" max="9457" width="17.6640625" style="2" bestFit="1" customWidth="1"/>
    <col min="9458" max="9458" width="76.6640625" style="2" customWidth="1"/>
    <col min="9459" max="9460" width="11.44140625" style="2"/>
    <col min="9461" max="9461" width="13.6640625" style="2" bestFit="1" customWidth="1"/>
    <col min="9462" max="9467" width="11.44140625" style="2"/>
    <col min="9468" max="9468" width="12.6640625" style="2" bestFit="1" customWidth="1"/>
    <col min="9469" max="9470" width="11.44140625" style="2"/>
    <col min="9471" max="9471" width="12.6640625" style="2" bestFit="1" customWidth="1"/>
    <col min="9472" max="9473" width="13.6640625" style="2" bestFit="1" customWidth="1"/>
    <col min="9474" max="9474" width="16.88671875" style="2" customWidth="1"/>
    <col min="9475" max="9477" width="13.6640625" style="2" bestFit="1" customWidth="1"/>
    <col min="9478" max="9478" width="12.6640625" style="2" bestFit="1" customWidth="1"/>
    <col min="9479" max="9479" width="11.6640625" style="2" bestFit="1" customWidth="1"/>
    <col min="9480" max="9480" width="14.109375" style="2" bestFit="1" customWidth="1"/>
    <col min="9481" max="9712" width="11.44140625" style="2"/>
    <col min="9713" max="9713" width="17.6640625" style="2" bestFit="1" customWidth="1"/>
    <col min="9714" max="9714" width="76.6640625" style="2" customWidth="1"/>
    <col min="9715" max="9716" width="11.44140625" style="2"/>
    <col min="9717" max="9717" width="13.6640625" style="2" bestFit="1" customWidth="1"/>
    <col min="9718" max="9723" width="11.44140625" style="2"/>
    <col min="9724" max="9724" width="12.6640625" style="2" bestFit="1" customWidth="1"/>
    <col min="9725" max="9726" width="11.44140625" style="2"/>
    <col min="9727" max="9727" width="12.6640625" style="2" bestFit="1" customWidth="1"/>
    <col min="9728" max="9729" width="13.6640625" style="2" bestFit="1" customWidth="1"/>
    <col min="9730" max="9730" width="16.88671875" style="2" customWidth="1"/>
    <col min="9731" max="9733" width="13.6640625" style="2" bestFit="1" customWidth="1"/>
    <col min="9734" max="9734" width="12.6640625" style="2" bestFit="1" customWidth="1"/>
    <col min="9735" max="9735" width="11.6640625" style="2" bestFit="1" customWidth="1"/>
    <col min="9736" max="9736" width="14.109375" style="2" bestFit="1" customWidth="1"/>
    <col min="9737" max="9968" width="11.44140625" style="2"/>
    <col min="9969" max="9969" width="17.6640625" style="2" bestFit="1" customWidth="1"/>
    <col min="9970" max="9970" width="76.6640625" style="2" customWidth="1"/>
    <col min="9971" max="9972" width="11.44140625" style="2"/>
    <col min="9973" max="9973" width="13.6640625" style="2" bestFit="1" customWidth="1"/>
    <col min="9974" max="9979" width="11.44140625" style="2"/>
    <col min="9980" max="9980" width="12.6640625" style="2" bestFit="1" customWidth="1"/>
    <col min="9981" max="9982" width="11.44140625" style="2"/>
    <col min="9983" max="9983" width="12.6640625" style="2" bestFit="1" customWidth="1"/>
    <col min="9984" max="9985" width="13.6640625" style="2" bestFit="1" customWidth="1"/>
    <col min="9986" max="9986" width="16.88671875" style="2" customWidth="1"/>
    <col min="9987" max="9989" width="13.6640625" style="2" bestFit="1" customWidth="1"/>
    <col min="9990" max="9990" width="12.6640625" style="2" bestFit="1" customWidth="1"/>
    <col min="9991" max="9991" width="11.6640625" style="2" bestFit="1" customWidth="1"/>
    <col min="9992" max="9992" width="14.109375" style="2" bestFit="1" customWidth="1"/>
    <col min="9993" max="10224" width="11.44140625" style="2"/>
    <col min="10225" max="10225" width="17.6640625" style="2" bestFit="1" customWidth="1"/>
    <col min="10226" max="10226" width="76.6640625" style="2" customWidth="1"/>
    <col min="10227" max="10228" width="11.44140625" style="2"/>
    <col min="10229" max="10229" width="13.6640625" style="2" bestFit="1" customWidth="1"/>
    <col min="10230" max="10235" width="11.44140625" style="2"/>
    <col min="10236" max="10236" width="12.6640625" style="2" bestFit="1" customWidth="1"/>
    <col min="10237" max="10238" width="11.44140625" style="2"/>
    <col min="10239" max="10239" width="12.6640625" style="2" bestFit="1" customWidth="1"/>
    <col min="10240" max="10241" width="13.6640625" style="2" bestFit="1" customWidth="1"/>
    <col min="10242" max="10242" width="16.88671875" style="2" customWidth="1"/>
    <col min="10243" max="10245" width="13.6640625" style="2" bestFit="1" customWidth="1"/>
    <col min="10246" max="10246" width="12.6640625" style="2" bestFit="1" customWidth="1"/>
    <col min="10247" max="10247" width="11.6640625" style="2" bestFit="1" customWidth="1"/>
    <col min="10248" max="10248" width="14.109375" style="2" bestFit="1" customWidth="1"/>
    <col min="10249" max="10480" width="11.44140625" style="2"/>
    <col min="10481" max="10481" width="17.6640625" style="2" bestFit="1" customWidth="1"/>
    <col min="10482" max="10482" width="76.6640625" style="2" customWidth="1"/>
    <col min="10483" max="10484" width="11.44140625" style="2"/>
    <col min="10485" max="10485" width="13.6640625" style="2" bestFit="1" customWidth="1"/>
    <col min="10486" max="10491" width="11.44140625" style="2"/>
    <col min="10492" max="10492" width="12.6640625" style="2" bestFit="1" customWidth="1"/>
    <col min="10493" max="10494" width="11.44140625" style="2"/>
    <col min="10495" max="10495" width="12.6640625" style="2" bestFit="1" customWidth="1"/>
    <col min="10496" max="10497" width="13.6640625" style="2" bestFit="1" customWidth="1"/>
    <col min="10498" max="10498" width="16.88671875" style="2" customWidth="1"/>
    <col min="10499" max="10501" width="13.6640625" style="2" bestFit="1" customWidth="1"/>
    <col min="10502" max="10502" width="12.6640625" style="2" bestFit="1" customWidth="1"/>
    <col min="10503" max="10503" width="11.6640625" style="2" bestFit="1" customWidth="1"/>
    <col min="10504" max="10504" width="14.109375" style="2" bestFit="1" customWidth="1"/>
    <col min="10505" max="10736" width="11.44140625" style="2"/>
    <col min="10737" max="10737" width="17.6640625" style="2" bestFit="1" customWidth="1"/>
    <col min="10738" max="10738" width="76.6640625" style="2" customWidth="1"/>
    <col min="10739" max="10740" width="11.44140625" style="2"/>
    <col min="10741" max="10741" width="13.6640625" style="2" bestFit="1" customWidth="1"/>
    <col min="10742" max="10747" width="11.44140625" style="2"/>
    <col min="10748" max="10748" width="12.6640625" style="2" bestFit="1" customWidth="1"/>
    <col min="10749" max="10750" width="11.44140625" style="2"/>
    <col min="10751" max="10751" width="12.6640625" style="2" bestFit="1" customWidth="1"/>
    <col min="10752" max="10753" width="13.6640625" style="2" bestFit="1" customWidth="1"/>
    <col min="10754" max="10754" width="16.88671875" style="2" customWidth="1"/>
    <col min="10755" max="10757" width="13.6640625" style="2" bestFit="1" customWidth="1"/>
    <col min="10758" max="10758" width="12.6640625" style="2" bestFit="1" customWidth="1"/>
    <col min="10759" max="10759" width="11.6640625" style="2" bestFit="1" customWidth="1"/>
    <col min="10760" max="10760" width="14.109375" style="2" bestFit="1" customWidth="1"/>
    <col min="10761" max="10992" width="11.44140625" style="2"/>
    <col min="10993" max="10993" width="17.6640625" style="2" bestFit="1" customWidth="1"/>
    <col min="10994" max="10994" width="76.6640625" style="2" customWidth="1"/>
    <col min="10995" max="10996" width="11.44140625" style="2"/>
    <col min="10997" max="10997" width="13.6640625" style="2" bestFit="1" customWidth="1"/>
    <col min="10998" max="11003" width="11.44140625" style="2"/>
    <col min="11004" max="11004" width="12.6640625" style="2" bestFit="1" customWidth="1"/>
    <col min="11005" max="11006" width="11.44140625" style="2"/>
    <col min="11007" max="11007" width="12.6640625" style="2" bestFit="1" customWidth="1"/>
    <col min="11008" max="11009" width="13.6640625" style="2" bestFit="1" customWidth="1"/>
    <col min="11010" max="11010" width="16.88671875" style="2" customWidth="1"/>
    <col min="11011" max="11013" width="13.6640625" style="2" bestFit="1" customWidth="1"/>
    <col min="11014" max="11014" width="12.6640625" style="2" bestFit="1" customWidth="1"/>
    <col min="11015" max="11015" width="11.6640625" style="2" bestFit="1" customWidth="1"/>
    <col min="11016" max="11016" width="14.109375" style="2" bestFit="1" customWidth="1"/>
    <col min="11017" max="11248" width="11.44140625" style="2"/>
    <col min="11249" max="11249" width="17.6640625" style="2" bestFit="1" customWidth="1"/>
    <col min="11250" max="11250" width="76.6640625" style="2" customWidth="1"/>
    <col min="11251" max="11252" width="11.44140625" style="2"/>
    <col min="11253" max="11253" width="13.6640625" style="2" bestFit="1" customWidth="1"/>
    <col min="11254" max="11259" width="11.44140625" style="2"/>
    <col min="11260" max="11260" width="12.6640625" style="2" bestFit="1" customWidth="1"/>
    <col min="11261" max="11262" width="11.44140625" style="2"/>
    <col min="11263" max="11263" width="12.6640625" style="2" bestFit="1" customWidth="1"/>
    <col min="11264" max="11265" width="13.6640625" style="2" bestFit="1" customWidth="1"/>
    <col min="11266" max="11266" width="16.88671875" style="2" customWidth="1"/>
    <col min="11267" max="11269" width="13.6640625" style="2" bestFit="1" customWidth="1"/>
    <col min="11270" max="11270" width="12.6640625" style="2" bestFit="1" customWidth="1"/>
    <col min="11271" max="11271" width="11.6640625" style="2" bestFit="1" customWidth="1"/>
    <col min="11272" max="11272" width="14.109375" style="2" bestFit="1" customWidth="1"/>
    <col min="11273" max="11504" width="11.44140625" style="2"/>
    <col min="11505" max="11505" width="17.6640625" style="2" bestFit="1" customWidth="1"/>
    <col min="11506" max="11506" width="76.6640625" style="2" customWidth="1"/>
    <col min="11507" max="11508" width="11.44140625" style="2"/>
    <col min="11509" max="11509" width="13.6640625" style="2" bestFit="1" customWidth="1"/>
    <col min="11510" max="11515" width="11.44140625" style="2"/>
    <col min="11516" max="11516" width="12.6640625" style="2" bestFit="1" customWidth="1"/>
    <col min="11517" max="11518" width="11.44140625" style="2"/>
    <col min="11519" max="11519" width="12.6640625" style="2" bestFit="1" customWidth="1"/>
    <col min="11520" max="11521" width="13.6640625" style="2" bestFit="1" customWidth="1"/>
    <col min="11522" max="11522" width="16.88671875" style="2" customWidth="1"/>
    <col min="11523" max="11525" width="13.6640625" style="2" bestFit="1" customWidth="1"/>
    <col min="11526" max="11526" width="12.6640625" style="2" bestFit="1" customWidth="1"/>
    <col min="11527" max="11527" width="11.6640625" style="2" bestFit="1" customWidth="1"/>
    <col min="11528" max="11528" width="14.109375" style="2" bestFit="1" customWidth="1"/>
    <col min="11529" max="11760" width="11.44140625" style="2"/>
    <col min="11761" max="11761" width="17.6640625" style="2" bestFit="1" customWidth="1"/>
    <col min="11762" max="11762" width="76.6640625" style="2" customWidth="1"/>
    <col min="11763" max="11764" width="11.44140625" style="2"/>
    <col min="11765" max="11765" width="13.6640625" style="2" bestFit="1" customWidth="1"/>
    <col min="11766" max="11771" width="11.44140625" style="2"/>
    <col min="11772" max="11772" width="12.6640625" style="2" bestFit="1" customWidth="1"/>
    <col min="11773" max="11774" width="11.44140625" style="2"/>
    <col min="11775" max="11775" width="12.6640625" style="2" bestFit="1" customWidth="1"/>
    <col min="11776" max="11777" width="13.6640625" style="2" bestFit="1" customWidth="1"/>
    <col min="11778" max="11778" width="16.88671875" style="2" customWidth="1"/>
    <col min="11779" max="11781" width="13.6640625" style="2" bestFit="1" customWidth="1"/>
    <col min="11782" max="11782" width="12.6640625" style="2" bestFit="1" customWidth="1"/>
    <col min="11783" max="11783" width="11.6640625" style="2" bestFit="1" customWidth="1"/>
    <col min="11784" max="11784" width="14.109375" style="2" bestFit="1" customWidth="1"/>
    <col min="11785" max="12016" width="11.44140625" style="2"/>
    <col min="12017" max="12017" width="17.6640625" style="2" bestFit="1" customWidth="1"/>
    <col min="12018" max="12018" width="76.6640625" style="2" customWidth="1"/>
    <col min="12019" max="12020" width="11.44140625" style="2"/>
    <col min="12021" max="12021" width="13.6640625" style="2" bestFit="1" customWidth="1"/>
    <col min="12022" max="12027" width="11.44140625" style="2"/>
    <col min="12028" max="12028" width="12.6640625" style="2" bestFit="1" customWidth="1"/>
    <col min="12029" max="12030" width="11.44140625" style="2"/>
    <col min="12031" max="12031" width="12.6640625" style="2" bestFit="1" customWidth="1"/>
    <col min="12032" max="12033" width="13.6640625" style="2" bestFit="1" customWidth="1"/>
    <col min="12034" max="12034" width="16.88671875" style="2" customWidth="1"/>
    <col min="12035" max="12037" width="13.6640625" style="2" bestFit="1" customWidth="1"/>
    <col min="12038" max="12038" width="12.6640625" style="2" bestFit="1" customWidth="1"/>
    <col min="12039" max="12039" width="11.6640625" style="2" bestFit="1" customWidth="1"/>
    <col min="12040" max="12040" width="14.109375" style="2" bestFit="1" customWidth="1"/>
    <col min="12041" max="12272" width="11.44140625" style="2"/>
    <col min="12273" max="12273" width="17.6640625" style="2" bestFit="1" customWidth="1"/>
    <col min="12274" max="12274" width="76.6640625" style="2" customWidth="1"/>
    <col min="12275" max="12276" width="11.44140625" style="2"/>
    <col min="12277" max="12277" width="13.6640625" style="2" bestFit="1" customWidth="1"/>
    <col min="12278" max="12283" width="11.44140625" style="2"/>
    <col min="12284" max="12284" width="12.6640625" style="2" bestFit="1" customWidth="1"/>
    <col min="12285" max="12286" width="11.44140625" style="2"/>
    <col min="12287" max="12287" width="12.6640625" style="2" bestFit="1" customWidth="1"/>
    <col min="12288" max="12289" width="13.6640625" style="2" bestFit="1" customWidth="1"/>
    <col min="12290" max="12290" width="16.88671875" style="2" customWidth="1"/>
    <col min="12291" max="12293" width="13.6640625" style="2" bestFit="1" customWidth="1"/>
    <col min="12294" max="12294" width="12.6640625" style="2" bestFit="1" customWidth="1"/>
    <col min="12295" max="12295" width="11.6640625" style="2" bestFit="1" customWidth="1"/>
    <col min="12296" max="12296" width="14.109375" style="2" bestFit="1" customWidth="1"/>
    <col min="12297" max="12528" width="11.44140625" style="2"/>
    <col min="12529" max="12529" width="17.6640625" style="2" bestFit="1" customWidth="1"/>
    <col min="12530" max="12530" width="76.6640625" style="2" customWidth="1"/>
    <col min="12531" max="12532" width="11.44140625" style="2"/>
    <col min="12533" max="12533" width="13.6640625" style="2" bestFit="1" customWidth="1"/>
    <col min="12534" max="12539" width="11.44140625" style="2"/>
    <col min="12540" max="12540" width="12.6640625" style="2" bestFit="1" customWidth="1"/>
    <col min="12541" max="12542" width="11.44140625" style="2"/>
    <col min="12543" max="12543" width="12.6640625" style="2" bestFit="1" customWidth="1"/>
    <col min="12544" max="12545" width="13.6640625" style="2" bestFit="1" customWidth="1"/>
    <col min="12546" max="12546" width="16.88671875" style="2" customWidth="1"/>
    <col min="12547" max="12549" width="13.6640625" style="2" bestFit="1" customWidth="1"/>
    <col min="12550" max="12550" width="12.6640625" style="2" bestFit="1" customWidth="1"/>
    <col min="12551" max="12551" width="11.6640625" style="2" bestFit="1" customWidth="1"/>
    <col min="12552" max="12552" width="14.109375" style="2" bestFit="1" customWidth="1"/>
    <col min="12553" max="12784" width="11.44140625" style="2"/>
    <col min="12785" max="12785" width="17.6640625" style="2" bestFit="1" customWidth="1"/>
    <col min="12786" max="12786" width="76.6640625" style="2" customWidth="1"/>
    <col min="12787" max="12788" width="11.44140625" style="2"/>
    <col min="12789" max="12789" width="13.6640625" style="2" bestFit="1" customWidth="1"/>
    <col min="12790" max="12795" width="11.44140625" style="2"/>
    <col min="12796" max="12796" width="12.6640625" style="2" bestFit="1" customWidth="1"/>
    <col min="12797" max="12798" width="11.44140625" style="2"/>
    <col min="12799" max="12799" width="12.6640625" style="2" bestFit="1" customWidth="1"/>
    <col min="12800" max="12801" width="13.6640625" style="2" bestFit="1" customWidth="1"/>
    <col min="12802" max="12802" width="16.88671875" style="2" customWidth="1"/>
    <col min="12803" max="12805" width="13.6640625" style="2" bestFit="1" customWidth="1"/>
    <col min="12806" max="12806" width="12.6640625" style="2" bestFit="1" customWidth="1"/>
    <col min="12807" max="12807" width="11.6640625" style="2" bestFit="1" customWidth="1"/>
    <col min="12808" max="12808" width="14.109375" style="2" bestFit="1" customWidth="1"/>
    <col min="12809" max="13040" width="11.44140625" style="2"/>
    <col min="13041" max="13041" width="17.6640625" style="2" bestFit="1" customWidth="1"/>
    <col min="13042" max="13042" width="76.6640625" style="2" customWidth="1"/>
    <col min="13043" max="13044" width="11.44140625" style="2"/>
    <col min="13045" max="13045" width="13.6640625" style="2" bestFit="1" customWidth="1"/>
    <col min="13046" max="13051" width="11.44140625" style="2"/>
    <col min="13052" max="13052" width="12.6640625" style="2" bestFit="1" customWidth="1"/>
    <col min="13053" max="13054" width="11.44140625" style="2"/>
    <col min="13055" max="13055" width="12.6640625" style="2" bestFit="1" customWidth="1"/>
    <col min="13056" max="13057" width="13.6640625" style="2" bestFit="1" customWidth="1"/>
    <col min="13058" max="13058" width="16.88671875" style="2" customWidth="1"/>
    <col min="13059" max="13061" width="13.6640625" style="2" bestFit="1" customWidth="1"/>
    <col min="13062" max="13062" width="12.6640625" style="2" bestFit="1" customWidth="1"/>
    <col min="13063" max="13063" width="11.6640625" style="2" bestFit="1" customWidth="1"/>
    <col min="13064" max="13064" width="14.109375" style="2" bestFit="1" customWidth="1"/>
    <col min="13065" max="13296" width="11.44140625" style="2"/>
    <col min="13297" max="13297" width="17.6640625" style="2" bestFit="1" customWidth="1"/>
    <col min="13298" max="13298" width="76.6640625" style="2" customWidth="1"/>
    <col min="13299" max="13300" width="11.44140625" style="2"/>
    <col min="13301" max="13301" width="13.6640625" style="2" bestFit="1" customWidth="1"/>
    <col min="13302" max="13307" width="11.44140625" style="2"/>
    <col min="13308" max="13308" width="12.6640625" style="2" bestFit="1" customWidth="1"/>
    <col min="13309" max="13310" width="11.44140625" style="2"/>
    <col min="13311" max="13311" width="12.6640625" style="2" bestFit="1" customWidth="1"/>
    <col min="13312" max="13313" width="13.6640625" style="2" bestFit="1" customWidth="1"/>
    <col min="13314" max="13314" width="16.88671875" style="2" customWidth="1"/>
    <col min="13315" max="13317" width="13.6640625" style="2" bestFit="1" customWidth="1"/>
    <col min="13318" max="13318" width="12.6640625" style="2" bestFit="1" customWidth="1"/>
    <col min="13319" max="13319" width="11.6640625" style="2" bestFit="1" customWidth="1"/>
    <col min="13320" max="13320" width="14.109375" style="2" bestFit="1" customWidth="1"/>
    <col min="13321" max="13552" width="11.44140625" style="2"/>
    <col min="13553" max="13553" width="17.6640625" style="2" bestFit="1" customWidth="1"/>
    <col min="13554" max="13554" width="76.6640625" style="2" customWidth="1"/>
    <col min="13555" max="13556" width="11.44140625" style="2"/>
    <col min="13557" max="13557" width="13.6640625" style="2" bestFit="1" customWidth="1"/>
    <col min="13558" max="13563" width="11.44140625" style="2"/>
    <col min="13564" max="13564" width="12.6640625" style="2" bestFit="1" customWidth="1"/>
    <col min="13565" max="13566" width="11.44140625" style="2"/>
    <col min="13567" max="13567" width="12.6640625" style="2" bestFit="1" customWidth="1"/>
    <col min="13568" max="13569" width="13.6640625" style="2" bestFit="1" customWidth="1"/>
    <col min="13570" max="13570" width="16.88671875" style="2" customWidth="1"/>
    <col min="13571" max="13573" width="13.6640625" style="2" bestFit="1" customWidth="1"/>
    <col min="13574" max="13574" width="12.6640625" style="2" bestFit="1" customWidth="1"/>
    <col min="13575" max="13575" width="11.6640625" style="2" bestFit="1" customWidth="1"/>
    <col min="13576" max="13576" width="14.109375" style="2" bestFit="1" customWidth="1"/>
    <col min="13577" max="13808" width="11.44140625" style="2"/>
    <col min="13809" max="13809" width="17.6640625" style="2" bestFit="1" customWidth="1"/>
    <col min="13810" max="13810" width="76.6640625" style="2" customWidth="1"/>
    <col min="13811" max="13812" width="11.44140625" style="2"/>
    <col min="13813" max="13813" width="13.6640625" style="2" bestFit="1" customWidth="1"/>
    <col min="13814" max="13819" width="11.44140625" style="2"/>
    <col min="13820" max="13820" width="12.6640625" style="2" bestFit="1" customWidth="1"/>
    <col min="13821" max="13822" width="11.44140625" style="2"/>
    <col min="13823" max="13823" width="12.6640625" style="2" bestFit="1" customWidth="1"/>
    <col min="13824" max="13825" width="13.6640625" style="2" bestFit="1" customWidth="1"/>
    <col min="13826" max="13826" width="16.88671875" style="2" customWidth="1"/>
    <col min="13827" max="13829" width="13.6640625" style="2" bestFit="1" customWidth="1"/>
    <col min="13830" max="13830" width="12.6640625" style="2" bestFit="1" customWidth="1"/>
    <col min="13831" max="13831" width="11.6640625" style="2" bestFit="1" customWidth="1"/>
    <col min="13832" max="13832" width="14.109375" style="2" bestFit="1" customWidth="1"/>
    <col min="13833" max="14064" width="11.44140625" style="2"/>
    <col min="14065" max="14065" width="17.6640625" style="2" bestFit="1" customWidth="1"/>
    <col min="14066" max="14066" width="76.6640625" style="2" customWidth="1"/>
    <col min="14067" max="14068" width="11.44140625" style="2"/>
    <col min="14069" max="14069" width="13.6640625" style="2" bestFit="1" customWidth="1"/>
    <col min="14070" max="14075" width="11.44140625" style="2"/>
    <col min="14076" max="14076" width="12.6640625" style="2" bestFit="1" customWidth="1"/>
    <col min="14077" max="14078" width="11.44140625" style="2"/>
    <col min="14079" max="14079" width="12.6640625" style="2" bestFit="1" customWidth="1"/>
    <col min="14080" max="14081" width="13.6640625" style="2" bestFit="1" customWidth="1"/>
    <col min="14082" max="14082" width="16.88671875" style="2" customWidth="1"/>
    <col min="14083" max="14085" width="13.6640625" style="2" bestFit="1" customWidth="1"/>
    <col min="14086" max="14086" width="12.6640625" style="2" bestFit="1" customWidth="1"/>
    <col min="14087" max="14087" width="11.6640625" style="2" bestFit="1" customWidth="1"/>
    <col min="14088" max="14088" width="14.109375" style="2" bestFit="1" customWidth="1"/>
    <col min="14089" max="14320" width="11.44140625" style="2"/>
    <col min="14321" max="14321" width="17.6640625" style="2" bestFit="1" customWidth="1"/>
    <col min="14322" max="14322" width="76.6640625" style="2" customWidth="1"/>
    <col min="14323" max="14324" width="11.44140625" style="2"/>
    <col min="14325" max="14325" width="13.6640625" style="2" bestFit="1" customWidth="1"/>
    <col min="14326" max="14331" width="11.44140625" style="2"/>
    <col min="14332" max="14332" width="12.6640625" style="2" bestFit="1" customWidth="1"/>
    <col min="14333" max="14334" width="11.44140625" style="2"/>
    <col min="14335" max="14335" width="12.6640625" style="2" bestFit="1" customWidth="1"/>
    <col min="14336" max="14337" width="13.6640625" style="2" bestFit="1" customWidth="1"/>
    <col min="14338" max="14338" width="16.88671875" style="2" customWidth="1"/>
    <col min="14339" max="14341" width="13.6640625" style="2" bestFit="1" customWidth="1"/>
    <col min="14342" max="14342" width="12.6640625" style="2" bestFit="1" customWidth="1"/>
    <col min="14343" max="14343" width="11.6640625" style="2" bestFit="1" customWidth="1"/>
    <col min="14344" max="14344" width="14.109375" style="2" bestFit="1" customWidth="1"/>
    <col min="14345" max="14576" width="11.44140625" style="2"/>
    <col min="14577" max="14577" width="17.6640625" style="2" bestFit="1" customWidth="1"/>
    <col min="14578" max="14578" width="76.6640625" style="2" customWidth="1"/>
    <col min="14579" max="14580" width="11.44140625" style="2"/>
    <col min="14581" max="14581" width="13.6640625" style="2" bestFit="1" customWidth="1"/>
    <col min="14582" max="14587" width="11.44140625" style="2"/>
    <col min="14588" max="14588" width="12.6640625" style="2" bestFit="1" customWidth="1"/>
    <col min="14589" max="14590" width="11.44140625" style="2"/>
    <col min="14591" max="14591" width="12.6640625" style="2" bestFit="1" customWidth="1"/>
    <col min="14592" max="14593" width="13.6640625" style="2" bestFit="1" customWidth="1"/>
    <col min="14594" max="14594" width="16.88671875" style="2" customWidth="1"/>
    <col min="14595" max="14597" width="13.6640625" style="2" bestFit="1" customWidth="1"/>
    <col min="14598" max="14598" width="12.6640625" style="2" bestFit="1" customWidth="1"/>
    <col min="14599" max="14599" width="11.6640625" style="2" bestFit="1" customWidth="1"/>
    <col min="14600" max="14600" width="14.109375" style="2" bestFit="1" customWidth="1"/>
    <col min="14601" max="14832" width="11.44140625" style="2"/>
    <col min="14833" max="14833" width="17.6640625" style="2" bestFit="1" customWidth="1"/>
    <col min="14834" max="14834" width="76.6640625" style="2" customWidth="1"/>
    <col min="14835" max="14836" width="11.44140625" style="2"/>
    <col min="14837" max="14837" width="13.6640625" style="2" bestFit="1" customWidth="1"/>
    <col min="14838" max="14843" width="11.44140625" style="2"/>
    <col min="14844" max="14844" width="12.6640625" style="2" bestFit="1" customWidth="1"/>
    <col min="14845" max="14846" width="11.44140625" style="2"/>
    <col min="14847" max="14847" width="12.6640625" style="2" bestFit="1" customWidth="1"/>
    <col min="14848" max="14849" width="13.6640625" style="2" bestFit="1" customWidth="1"/>
    <col min="14850" max="14850" width="16.88671875" style="2" customWidth="1"/>
    <col min="14851" max="14853" width="13.6640625" style="2" bestFit="1" customWidth="1"/>
    <col min="14854" max="14854" width="12.6640625" style="2" bestFit="1" customWidth="1"/>
    <col min="14855" max="14855" width="11.6640625" style="2" bestFit="1" customWidth="1"/>
    <col min="14856" max="14856" width="14.109375" style="2" bestFit="1" customWidth="1"/>
    <col min="14857" max="15088" width="11.44140625" style="2"/>
    <col min="15089" max="15089" width="17.6640625" style="2" bestFit="1" customWidth="1"/>
    <col min="15090" max="15090" width="76.6640625" style="2" customWidth="1"/>
    <col min="15091" max="15092" width="11.44140625" style="2"/>
    <col min="15093" max="15093" width="13.6640625" style="2" bestFit="1" customWidth="1"/>
    <col min="15094" max="15099" width="11.44140625" style="2"/>
    <col min="15100" max="15100" width="12.6640625" style="2" bestFit="1" customWidth="1"/>
    <col min="15101" max="15102" width="11.44140625" style="2"/>
    <col min="15103" max="15103" width="12.6640625" style="2" bestFit="1" customWidth="1"/>
    <col min="15104" max="15105" width="13.6640625" style="2" bestFit="1" customWidth="1"/>
    <col min="15106" max="15106" width="16.88671875" style="2" customWidth="1"/>
    <col min="15107" max="15109" width="13.6640625" style="2" bestFit="1" customWidth="1"/>
    <col min="15110" max="15110" width="12.6640625" style="2" bestFit="1" customWidth="1"/>
    <col min="15111" max="15111" width="11.6640625" style="2" bestFit="1" customWidth="1"/>
    <col min="15112" max="15112" width="14.109375" style="2" bestFit="1" customWidth="1"/>
    <col min="15113" max="15344" width="11.44140625" style="2"/>
    <col min="15345" max="15345" width="17.6640625" style="2" bestFit="1" customWidth="1"/>
    <col min="15346" max="15346" width="76.6640625" style="2" customWidth="1"/>
    <col min="15347" max="15348" width="11.44140625" style="2"/>
    <col min="15349" max="15349" width="13.6640625" style="2" bestFit="1" customWidth="1"/>
    <col min="15350" max="15355" width="11.44140625" style="2"/>
    <col min="15356" max="15356" width="12.6640625" style="2" bestFit="1" customWidth="1"/>
    <col min="15357" max="15358" width="11.44140625" style="2"/>
    <col min="15359" max="15359" width="12.6640625" style="2" bestFit="1" customWidth="1"/>
    <col min="15360" max="15361" width="13.6640625" style="2" bestFit="1" customWidth="1"/>
    <col min="15362" max="15362" width="16.88671875" style="2" customWidth="1"/>
    <col min="15363" max="15365" width="13.6640625" style="2" bestFit="1" customWidth="1"/>
    <col min="15366" max="15366" width="12.6640625" style="2" bestFit="1" customWidth="1"/>
    <col min="15367" max="15367" width="11.6640625" style="2" bestFit="1" customWidth="1"/>
    <col min="15368" max="15368" width="14.109375" style="2" bestFit="1" customWidth="1"/>
    <col min="15369" max="15600" width="11.44140625" style="2"/>
    <col min="15601" max="15601" width="17.6640625" style="2" bestFit="1" customWidth="1"/>
    <col min="15602" max="15602" width="76.6640625" style="2" customWidth="1"/>
    <col min="15603" max="15604" width="11.44140625" style="2"/>
    <col min="15605" max="15605" width="13.6640625" style="2" bestFit="1" customWidth="1"/>
    <col min="15606" max="15611" width="11.44140625" style="2"/>
    <col min="15612" max="15612" width="12.6640625" style="2" bestFit="1" customWidth="1"/>
    <col min="15613" max="15614" width="11.44140625" style="2"/>
    <col min="15615" max="15615" width="12.6640625" style="2" bestFit="1" customWidth="1"/>
    <col min="15616" max="15617" width="13.6640625" style="2" bestFit="1" customWidth="1"/>
    <col min="15618" max="15618" width="16.88671875" style="2" customWidth="1"/>
    <col min="15619" max="15621" width="13.6640625" style="2" bestFit="1" customWidth="1"/>
    <col min="15622" max="15622" width="12.6640625" style="2" bestFit="1" customWidth="1"/>
    <col min="15623" max="15623" width="11.6640625" style="2" bestFit="1" customWidth="1"/>
    <col min="15624" max="15624" width="14.109375" style="2" bestFit="1" customWidth="1"/>
    <col min="15625" max="15856" width="11.44140625" style="2"/>
    <col min="15857" max="15857" width="17.6640625" style="2" bestFit="1" customWidth="1"/>
    <col min="15858" max="15858" width="76.6640625" style="2" customWidth="1"/>
    <col min="15859" max="15860" width="11.44140625" style="2"/>
    <col min="15861" max="15861" width="13.6640625" style="2" bestFit="1" customWidth="1"/>
    <col min="15862" max="15867" width="11.44140625" style="2"/>
    <col min="15868" max="15868" width="12.6640625" style="2" bestFit="1" customWidth="1"/>
    <col min="15869" max="15870" width="11.44140625" style="2"/>
    <col min="15871" max="15871" width="12.6640625" style="2" bestFit="1" customWidth="1"/>
    <col min="15872" max="15873" width="13.6640625" style="2" bestFit="1" customWidth="1"/>
    <col min="15874" max="15874" width="16.88671875" style="2" customWidth="1"/>
    <col min="15875" max="15877" width="13.6640625" style="2" bestFit="1" customWidth="1"/>
    <col min="15878" max="15878" width="12.6640625" style="2" bestFit="1" customWidth="1"/>
    <col min="15879" max="15879" width="11.6640625" style="2" bestFit="1" customWidth="1"/>
    <col min="15880" max="15880" width="14.109375" style="2" bestFit="1" customWidth="1"/>
    <col min="15881" max="16112" width="11.44140625" style="2"/>
    <col min="16113" max="16113" width="17.6640625" style="2" bestFit="1" customWidth="1"/>
    <col min="16114" max="16114" width="76.6640625" style="2" customWidth="1"/>
    <col min="16115" max="16116" width="11.44140625" style="2"/>
    <col min="16117" max="16117" width="13.6640625" style="2" bestFit="1" customWidth="1"/>
    <col min="16118" max="16123" width="11.44140625" style="2"/>
    <col min="16124" max="16124" width="12.6640625" style="2" bestFit="1" customWidth="1"/>
    <col min="16125" max="16126" width="11.44140625" style="2"/>
    <col min="16127" max="16127" width="12.6640625" style="2" bestFit="1" customWidth="1"/>
    <col min="16128" max="16129" width="13.6640625" style="2" bestFit="1" customWidth="1"/>
    <col min="16130" max="16130" width="16.88671875" style="2" customWidth="1"/>
    <col min="16131" max="16133" width="13.6640625" style="2" bestFit="1" customWidth="1"/>
    <col min="16134" max="16134" width="12.6640625" style="2" bestFit="1" customWidth="1"/>
    <col min="16135" max="16135" width="11.6640625" style="2" bestFit="1" customWidth="1"/>
    <col min="16136" max="16136" width="14.109375" style="2" bestFit="1" customWidth="1"/>
    <col min="16137" max="16384" width="11.44140625" style="2"/>
  </cols>
  <sheetData>
    <row r="1" spans="1:11" ht="73.5" customHeight="1" x14ac:dyDescent="0.3">
      <c r="A1" s="32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2.75" customHeight="1" x14ac:dyDescent="0.3">
      <c r="A2" s="33" t="s">
        <v>35</v>
      </c>
      <c r="B2" s="33" t="s">
        <v>34</v>
      </c>
      <c r="C2" s="33" t="s">
        <v>0</v>
      </c>
      <c r="D2" s="17" t="s">
        <v>1</v>
      </c>
      <c r="E2" s="33" t="s">
        <v>37</v>
      </c>
      <c r="F2" s="33" t="s">
        <v>2</v>
      </c>
      <c r="G2" s="33" t="s">
        <v>36</v>
      </c>
      <c r="H2" s="33" t="s">
        <v>12</v>
      </c>
      <c r="I2" s="33"/>
      <c r="J2" s="33"/>
      <c r="K2" s="34" t="s">
        <v>58</v>
      </c>
    </row>
    <row r="3" spans="1:11" ht="21" customHeight="1" x14ac:dyDescent="0.3">
      <c r="A3" s="33"/>
      <c r="B3" s="33"/>
      <c r="C3" s="33"/>
      <c r="D3" s="17"/>
      <c r="E3" s="33"/>
      <c r="F3" s="33"/>
      <c r="G3" s="33"/>
      <c r="H3" s="17">
        <v>2024</v>
      </c>
      <c r="I3" s="17">
        <v>2025</v>
      </c>
      <c r="J3" s="17">
        <v>2026</v>
      </c>
      <c r="K3" s="35"/>
    </row>
    <row r="4" spans="1:11" ht="61.5" customHeight="1" x14ac:dyDescent="0.3">
      <c r="A4" s="8">
        <v>1</v>
      </c>
      <c r="B4" s="9" t="s">
        <v>14</v>
      </c>
      <c r="C4" s="10" t="s">
        <v>27</v>
      </c>
      <c r="D4" s="11"/>
      <c r="E4" s="8" t="s">
        <v>38</v>
      </c>
      <c r="F4" s="12">
        <v>347522</v>
      </c>
      <c r="G4" s="31">
        <v>347522</v>
      </c>
      <c r="H4" s="12"/>
      <c r="I4" s="12"/>
      <c r="J4" s="12"/>
      <c r="K4" s="10" t="s">
        <v>42</v>
      </c>
    </row>
    <row r="5" spans="1:11" ht="66" x14ac:dyDescent="0.3">
      <c r="A5" s="8">
        <v>2</v>
      </c>
      <c r="B5" s="9" t="s">
        <v>16</v>
      </c>
      <c r="C5" s="10" t="s">
        <v>3</v>
      </c>
      <c r="D5" s="11"/>
      <c r="E5" s="8" t="s">
        <v>38</v>
      </c>
      <c r="F5" s="12">
        <v>1305427</v>
      </c>
      <c r="G5" s="31">
        <v>1305427</v>
      </c>
      <c r="H5" s="12">
        <v>0</v>
      </c>
      <c r="I5" s="12">
        <v>0</v>
      </c>
      <c r="J5" s="12">
        <v>0</v>
      </c>
      <c r="K5" s="10" t="s">
        <v>59</v>
      </c>
    </row>
    <row r="6" spans="1:11" ht="66" x14ac:dyDescent="0.3">
      <c r="A6" s="8">
        <v>3</v>
      </c>
      <c r="B6" s="9" t="s">
        <v>16</v>
      </c>
      <c r="C6" s="10" t="s">
        <v>10</v>
      </c>
      <c r="D6" s="11"/>
      <c r="E6" s="8" t="s">
        <v>38</v>
      </c>
      <c r="F6" s="12">
        <v>1272497</v>
      </c>
      <c r="G6" s="31">
        <v>1272497</v>
      </c>
      <c r="H6" s="12">
        <v>0</v>
      </c>
      <c r="I6" s="12">
        <v>0</v>
      </c>
      <c r="J6" s="12">
        <v>0</v>
      </c>
      <c r="K6" s="10" t="s">
        <v>61</v>
      </c>
    </row>
    <row r="7" spans="1:11" ht="52.8" x14ac:dyDescent="0.3">
      <c r="A7" s="8">
        <v>4</v>
      </c>
      <c r="B7" s="9" t="s">
        <v>14</v>
      </c>
      <c r="C7" s="10" t="s">
        <v>4</v>
      </c>
      <c r="D7" s="11"/>
      <c r="E7" s="8" t="s">
        <v>38</v>
      </c>
      <c r="F7" s="12">
        <v>463452</v>
      </c>
      <c r="G7" s="31">
        <v>463452</v>
      </c>
      <c r="H7" s="12"/>
      <c r="I7" s="12"/>
      <c r="J7" s="12"/>
      <c r="K7" s="10" t="s">
        <v>41</v>
      </c>
    </row>
    <row r="8" spans="1:11" ht="52.8" x14ac:dyDescent="0.3">
      <c r="A8" s="8">
        <v>5</v>
      </c>
      <c r="B8" s="9" t="s">
        <v>17</v>
      </c>
      <c r="C8" s="10" t="s">
        <v>6</v>
      </c>
      <c r="D8" s="11"/>
      <c r="E8" s="8" t="s">
        <v>38</v>
      </c>
      <c r="F8" s="12">
        <f>667760+20817</f>
        <v>688577</v>
      </c>
      <c r="G8" s="31">
        <v>688577</v>
      </c>
      <c r="H8" s="12"/>
      <c r="I8" s="12"/>
      <c r="J8" s="12"/>
      <c r="K8" s="10" t="s">
        <v>42</v>
      </c>
    </row>
    <row r="9" spans="1:11" ht="57" customHeight="1" x14ac:dyDescent="0.3">
      <c r="A9" s="8">
        <v>6</v>
      </c>
      <c r="B9" s="9" t="s">
        <v>18</v>
      </c>
      <c r="C9" s="10" t="s">
        <v>7</v>
      </c>
      <c r="D9" s="11"/>
      <c r="E9" s="8" t="s">
        <v>40</v>
      </c>
      <c r="F9" s="12">
        <v>5956120</v>
      </c>
      <c r="G9" s="31">
        <v>1526867</v>
      </c>
      <c r="H9" s="12">
        <v>4429253</v>
      </c>
      <c r="I9" s="12"/>
      <c r="J9" s="12"/>
      <c r="K9" s="10" t="s">
        <v>44</v>
      </c>
    </row>
    <row r="10" spans="1:11" ht="62.25" customHeight="1" x14ac:dyDescent="0.3">
      <c r="A10" s="8">
        <v>7</v>
      </c>
      <c r="B10" s="9" t="s">
        <v>19</v>
      </c>
      <c r="C10" s="10" t="s">
        <v>11</v>
      </c>
      <c r="D10" s="11"/>
      <c r="E10" s="8" t="s">
        <v>38</v>
      </c>
      <c r="F10" s="12">
        <v>200000</v>
      </c>
      <c r="G10" s="31">
        <v>200000</v>
      </c>
      <c r="H10" s="12"/>
      <c r="I10" s="12"/>
      <c r="J10" s="12"/>
      <c r="K10" s="10" t="s">
        <v>42</v>
      </c>
    </row>
    <row r="11" spans="1:11" ht="66" x14ac:dyDescent="0.3">
      <c r="A11" s="8">
        <v>8</v>
      </c>
      <c r="B11" s="9" t="s">
        <v>16</v>
      </c>
      <c r="C11" s="10" t="s">
        <v>20</v>
      </c>
      <c r="D11" s="11"/>
      <c r="E11" s="8" t="s">
        <v>38</v>
      </c>
      <c r="F11" s="12">
        <v>980732</v>
      </c>
      <c r="G11" s="31">
        <v>980732</v>
      </c>
      <c r="H11" s="12">
        <v>0</v>
      </c>
      <c r="I11" s="12">
        <v>0</v>
      </c>
      <c r="J11" s="12">
        <v>0</v>
      </c>
      <c r="K11" s="10" t="s">
        <v>60</v>
      </c>
    </row>
    <row r="12" spans="1:11" ht="91.5" customHeight="1" x14ac:dyDescent="0.3">
      <c r="A12" s="8">
        <v>9</v>
      </c>
      <c r="B12" s="9" t="s">
        <v>18</v>
      </c>
      <c r="C12" s="10" t="s">
        <v>24</v>
      </c>
      <c r="D12" s="11"/>
      <c r="E12" s="8" t="s">
        <v>40</v>
      </c>
      <c r="F12" s="12">
        <v>6468096</v>
      </c>
      <c r="G12" s="31">
        <v>1978571</v>
      </c>
      <c r="H12" s="12">
        <v>4489525</v>
      </c>
      <c r="I12" s="12"/>
      <c r="J12" s="12"/>
      <c r="K12" s="10" t="s">
        <v>45</v>
      </c>
    </row>
    <row r="13" spans="1:11" ht="76.5" customHeight="1" x14ac:dyDescent="0.3">
      <c r="A13" s="8">
        <v>10</v>
      </c>
      <c r="B13" s="9" t="s">
        <v>22</v>
      </c>
      <c r="C13" s="10" t="s">
        <v>25</v>
      </c>
      <c r="D13" s="11"/>
      <c r="E13" s="8" t="s">
        <v>38</v>
      </c>
      <c r="F13" s="12">
        <v>308500</v>
      </c>
      <c r="G13" s="31">
        <v>308500</v>
      </c>
      <c r="H13" s="12"/>
      <c r="I13" s="12"/>
      <c r="J13" s="12"/>
      <c r="K13" s="10" t="s">
        <v>42</v>
      </c>
    </row>
    <row r="14" spans="1:11" ht="24" customHeight="1" x14ac:dyDescent="0.3">
      <c r="A14" s="18"/>
      <c r="B14" s="19" t="s">
        <v>9</v>
      </c>
      <c r="C14" s="20"/>
      <c r="D14" s="21"/>
      <c r="E14" s="22"/>
      <c r="F14" s="23">
        <f>SUM(F4:F13)</f>
        <v>17990923</v>
      </c>
      <c r="G14" s="23">
        <f t="shared" ref="G14:J14" si="0">SUM(G4:G13)</f>
        <v>9072145</v>
      </c>
      <c r="H14" s="23">
        <f t="shared" si="0"/>
        <v>8918778</v>
      </c>
      <c r="I14" s="23">
        <f t="shared" si="0"/>
        <v>0</v>
      </c>
      <c r="J14" s="23">
        <f t="shared" si="0"/>
        <v>0</v>
      </c>
      <c r="K14" s="24"/>
    </row>
    <row r="15" spans="1:11" x14ac:dyDescent="0.3">
      <c r="C15" s="6"/>
      <c r="G15" s="5"/>
      <c r="H15" s="4"/>
      <c r="I15" s="4"/>
    </row>
    <row r="16" spans="1:11" ht="28.5" customHeight="1" x14ac:dyDescent="0.3">
      <c r="A16" s="36" t="s">
        <v>43</v>
      </c>
      <c r="B16" s="37"/>
      <c r="C16" s="37"/>
      <c r="D16" s="38"/>
      <c r="E16" s="37"/>
      <c r="F16" s="37"/>
      <c r="G16" s="37"/>
      <c r="H16" s="37"/>
      <c r="I16" s="37"/>
      <c r="J16" s="37"/>
      <c r="K16" s="37"/>
    </row>
    <row r="17" spans="7:9" x14ac:dyDescent="0.3">
      <c r="G17" s="4"/>
      <c r="H17" s="4"/>
    </row>
    <row r="18" spans="7:9" x14ac:dyDescent="0.3">
      <c r="G18" s="4"/>
      <c r="H18" s="4"/>
      <c r="I18" s="4"/>
    </row>
    <row r="19" spans="7:9" x14ac:dyDescent="0.3">
      <c r="G19" s="4"/>
      <c r="H19" s="4"/>
      <c r="I19" s="4"/>
    </row>
    <row r="20" spans="7:9" x14ac:dyDescent="0.3">
      <c r="G20" s="4"/>
      <c r="H20" s="4"/>
      <c r="I20" s="4"/>
    </row>
    <row r="21" spans="7:9" x14ac:dyDescent="0.3">
      <c r="G21" s="4"/>
      <c r="H21" s="4"/>
      <c r="I21" s="4"/>
    </row>
    <row r="22" spans="7:9" x14ac:dyDescent="0.3">
      <c r="G22" s="4"/>
      <c r="H22" s="4"/>
      <c r="I22" s="4"/>
    </row>
    <row r="23" spans="7:9" x14ac:dyDescent="0.3">
      <c r="G23" s="4"/>
      <c r="H23" s="4"/>
      <c r="I23" s="4"/>
    </row>
    <row r="24" spans="7:9" x14ac:dyDescent="0.3">
      <c r="G24" s="4"/>
      <c r="H24" s="4"/>
      <c r="I24" s="4"/>
    </row>
    <row r="25" spans="7:9" x14ac:dyDescent="0.3">
      <c r="G25" s="4"/>
      <c r="H25" s="4"/>
      <c r="I25" s="4"/>
    </row>
    <row r="26" spans="7:9" x14ac:dyDescent="0.3">
      <c r="G26" s="4"/>
      <c r="H26" s="4"/>
      <c r="I26" s="4"/>
    </row>
    <row r="27" spans="7:9" x14ac:dyDescent="0.3">
      <c r="G27" s="4"/>
      <c r="H27" s="4"/>
      <c r="I27" s="4"/>
    </row>
    <row r="28" spans="7:9" x14ac:dyDescent="0.3">
      <c r="G28" s="4"/>
      <c r="H28" s="4"/>
      <c r="I28" s="4"/>
    </row>
    <row r="29" spans="7:9" x14ac:dyDescent="0.3">
      <c r="G29" s="4"/>
      <c r="H29" s="4"/>
      <c r="I29" s="4"/>
    </row>
    <row r="30" spans="7:9" x14ac:dyDescent="0.3">
      <c r="G30" s="4"/>
      <c r="H30" s="4"/>
      <c r="I30" s="4"/>
    </row>
    <row r="31" spans="7:9" x14ac:dyDescent="0.3">
      <c r="G31" s="4"/>
      <c r="H31" s="4"/>
      <c r="I31" s="4"/>
    </row>
    <row r="32" spans="7:9" x14ac:dyDescent="0.3">
      <c r="G32" s="4"/>
      <c r="H32" s="4"/>
      <c r="I32" s="4"/>
    </row>
    <row r="33" spans="7:9" x14ac:dyDescent="0.3">
      <c r="G33" s="4"/>
      <c r="H33" s="4"/>
      <c r="I33" s="4"/>
    </row>
    <row r="34" spans="7:9" x14ac:dyDescent="0.3">
      <c r="G34" s="4"/>
      <c r="H34" s="4"/>
      <c r="I34" s="4"/>
    </row>
    <row r="35" spans="7:9" x14ac:dyDescent="0.3">
      <c r="G35" s="4"/>
      <c r="H35" s="4"/>
      <c r="I35" s="4"/>
    </row>
    <row r="36" spans="7:9" x14ac:dyDescent="0.3">
      <c r="G36" s="4"/>
      <c r="H36" s="4"/>
      <c r="I36" s="4"/>
    </row>
    <row r="37" spans="7:9" x14ac:dyDescent="0.3">
      <c r="G37" s="4"/>
      <c r="H37" s="4"/>
      <c r="I37" s="4"/>
    </row>
    <row r="38" spans="7:9" x14ac:dyDescent="0.3">
      <c r="G38" s="4"/>
      <c r="H38" s="4"/>
      <c r="I38" s="4"/>
    </row>
    <row r="39" spans="7:9" x14ac:dyDescent="0.3">
      <c r="G39" s="4"/>
      <c r="H39" s="4"/>
      <c r="I39" s="4"/>
    </row>
    <row r="40" spans="7:9" x14ac:dyDescent="0.3">
      <c r="G40" s="4"/>
      <c r="H40" s="4"/>
      <c r="I40" s="4"/>
    </row>
    <row r="41" spans="7:9" x14ac:dyDescent="0.3">
      <c r="G41" s="4"/>
      <c r="H41" s="4"/>
    </row>
    <row r="42" spans="7:9" x14ac:dyDescent="0.3">
      <c r="G42" s="4"/>
      <c r="H42" s="4"/>
    </row>
    <row r="43" spans="7:9" x14ac:dyDescent="0.3">
      <c r="G43" s="4"/>
      <c r="H43" s="4"/>
    </row>
    <row r="44" spans="7:9" x14ac:dyDescent="0.3">
      <c r="G44" s="4"/>
      <c r="H44" s="4"/>
    </row>
    <row r="45" spans="7:9" x14ac:dyDescent="0.3">
      <c r="G45" s="4"/>
      <c r="H45" s="4"/>
    </row>
    <row r="46" spans="7:9" x14ac:dyDescent="0.3">
      <c r="G46" s="4"/>
      <c r="H46" s="4"/>
    </row>
    <row r="47" spans="7:9" x14ac:dyDescent="0.3">
      <c r="G47" s="4"/>
      <c r="H47" s="4"/>
    </row>
    <row r="48" spans="7:9" x14ac:dyDescent="0.3">
      <c r="G48" s="4"/>
      <c r="H48" s="4"/>
    </row>
    <row r="49" spans="7:8" x14ac:dyDescent="0.3">
      <c r="G49" s="4"/>
      <c r="H49" s="4"/>
    </row>
    <row r="50" spans="7:8" x14ac:dyDescent="0.3">
      <c r="G50" s="4"/>
      <c r="H50" s="4"/>
    </row>
    <row r="51" spans="7:8" x14ac:dyDescent="0.3">
      <c r="G51" s="4"/>
      <c r="H51" s="4"/>
    </row>
    <row r="52" spans="7:8" x14ac:dyDescent="0.3">
      <c r="G52" s="4"/>
      <c r="H52" s="4"/>
    </row>
    <row r="53" spans="7:8" x14ac:dyDescent="0.3">
      <c r="G53" s="4"/>
      <c r="H53" s="4"/>
    </row>
    <row r="54" spans="7:8" x14ac:dyDescent="0.3">
      <c r="G54" s="4"/>
      <c r="H54" s="4"/>
    </row>
    <row r="55" spans="7:8" x14ac:dyDescent="0.3">
      <c r="G55" s="4"/>
      <c r="H55" s="4"/>
    </row>
    <row r="56" spans="7:8" x14ac:dyDescent="0.3">
      <c r="G56" s="4"/>
      <c r="H56" s="4"/>
    </row>
    <row r="57" spans="7:8" x14ac:dyDescent="0.3">
      <c r="G57" s="4"/>
      <c r="H57" s="4"/>
    </row>
    <row r="58" spans="7:8" x14ac:dyDescent="0.3">
      <c r="G58" s="4"/>
      <c r="H58" s="4"/>
    </row>
    <row r="59" spans="7:8" x14ac:dyDescent="0.3">
      <c r="G59" s="4"/>
      <c r="H59" s="4"/>
    </row>
    <row r="60" spans="7:8" x14ac:dyDescent="0.3">
      <c r="G60" s="4"/>
      <c r="H60" s="4"/>
    </row>
    <row r="61" spans="7:8" x14ac:dyDescent="0.3">
      <c r="G61" s="4"/>
      <c r="H61" s="4"/>
    </row>
    <row r="62" spans="7:8" x14ac:dyDescent="0.3">
      <c r="G62" s="4"/>
      <c r="H62" s="4"/>
    </row>
    <row r="63" spans="7:8" x14ac:dyDescent="0.3">
      <c r="G63" s="4"/>
      <c r="H63" s="4"/>
    </row>
    <row r="64" spans="7:8" x14ac:dyDescent="0.3">
      <c r="G64" s="4"/>
      <c r="H64" s="4"/>
    </row>
    <row r="65" spans="7:8" x14ac:dyDescent="0.3">
      <c r="G65" s="4"/>
      <c r="H65" s="4"/>
    </row>
    <row r="66" spans="7:8" x14ac:dyDescent="0.3">
      <c r="G66" s="4"/>
      <c r="H66" s="4"/>
    </row>
    <row r="67" spans="7:8" x14ac:dyDescent="0.3">
      <c r="G67" s="4"/>
      <c r="H67" s="4"/>
    </row>
    <row r="68" spans="7:8" x14ac:dyDescent="0.3">
      <c r="G68" s="4"/>
      <c r="H68" s="4"/>
    </row>
    <row r="69" spans="7:8" x14ac:dyDescent="0.3">
      <c r="G69" s="4"/>
      <c r="H69" s="4"/>
    </row>
    <row r="70" spans="7:8" x14ac:dyDescent="0.3">
      <c r="G70" s="4"/>
      <c r="H70" s="4"/>
    </row>
    <row r="71" spans="7:8" x14ac:dyDescent="0.3">
      <c r="G71" s="4"/>
      <c r="H71" s="4"/>
    </row>
    <row r="72" spans="7:8" x14ac:dyDescent="0.3">
      <c r="G72" s="4"/>
      <c r="H72" s="4"/>
    </row>
    <row r="73" spans="7:8" x14ac:dyDescent="0.3">
      <c r="G73" s="4"/>
      <c r="H73" s="4"/>
    </row>
    <row r="74" spans="7:8" x14ac:dyDescent="0.3">
      <c r="G74" s="4"/>
      <c r="H74" s="4"/>
    </row>
    <row r="75" spans="7:8" x14ac:dyDescent="0.3">
      <c r="G75" s="4"/>
      <c r="H75" s="4"/>
    </row>
    <row r="76" spans="7:8" x14ac:dyDescent="0.3">
      <c r="G76" s="4"/>
      <c r="H76" s="4"/>
    </row>
    <row r="77" spans="7:8" x14ac:dyDescent="0.3">
      <c r="G77" s="4"/>
    </row>
    <row r="78" spans="7:8" x14ac:dyDescent="0.3">
      <c r="G78" s="4"/>
    </row>
    <row r="79" spans="7:8" x14ac:dyDescent="0.3">
      <c r="G79" s="4"/>
    </row>
    <row r="80" spans="7:8" x14ac:dyDescent="0.3">
      <c r="G80" s="4"/>
    </row>
    <row r="81" spans="7:7" x14ac:dyDescent="0.3">
      <c r="G81" s="4"/>
    </row>
    <row r="82" spans="7:7" x14ac:dyDescent="0.3">
      <c r="G82" s="4"/>
    </row>
    <row r="83" spans="7:7" x14ac:dyDescent="0.3">
      <c r="G83" s="4"/>
    </row>
    <row r="84" spans="7:7" x14ac:dyDescent="0.3">
      <c r="G84" s="4"/>
    </row>
    <row r="85" spans="7:7" x14ac:dyDescent="0.3">
      <c r="G85" s="4"/>
    </row>
    <row r="86" spans="7:7" x14ac:dyDescent="0.3">
      <c r="G86" s="4"/>
    </row>
    <row r="87" spans="7:7" x14ac:dyDescent="0.3">
      <c r="G87" s="4"/>
    </row>
    <row r="88" spans="7:7" x14ac:dyDescent="0.3">
      <c r="G88" s="4"/>
    </row>
    <row r="89" spans="7:7" x14ac:dyDescent="0.3">
      <c r="G89" s="4"/>
    </row>
    <row r="90" spans="7:7" x14ac:dyDescent="0.3">
      <c r="G90" s="4"/>
    </row>
    <row r="91" spans="7:7" x14ac:dyDescent="0.3">
      <c r="G91" s="4"/>
    </row>
    <row r="92" spans="7:7" x14ac:dyDescent="0.3">
      <c r="G92" s="4"/>
    </row>
    <row r="93" spans="7:7" x14ac:dyDescent="0.3">
      <c r="G93" s="4"/>
    </row>
    <row r="94" spans="7:7" x14ac:dyDescent="0.3">
      <c r="G94" s="4"/>
    </row>
    <row r="95" spans="7:7" x14ac:dyDescent="0.3">
      <c r="G95" s="4"/>
    </row>
    <row r="96" spans="7:7" x14ac:dyDescent="0.3">
      <c r="G96" s="4"/>
    </row>
    <row r="97" spans="7:7" x14ac:dyDescent="0.3">
      <c r="G97" s="4"/>
    </row>
    <row r="98" spans="7:7" x14ac:dyDescent="0.3">
      <c r="G98" s="4"/>
    </row>
    <row r="99" spans="7:7" x14ac:dyDescent="0.3">
      <c r="G99" s="4"/>
    </row>
    <row r="100" spans="7:7" x14ac:dyDescent="0.3">
      <c r="G100" s="4"/>
    </row>
    <row r="101" spans="7:7" x14ac:dyDescent="0.3">
      <c r="G101" s="4"/>
    </row>
    <row r="102" spans="7:7" x14ac:dyDescent="0.3">
      <c r="G102" s="4"/>
    </row>
    <row r="103" spans="7:7" x14ac:dyDescent="0.3">
      <c r="G103" s="4"/>
    </row>
    <row r="104" spans="7:7" x14ac:dyDescent="0.3">
      <c r="G104" s="4"/>
    </row>
    <row r="105" spans="7:7" x14ac:dyDescent="0.3">
      <c r="G105" s="4"/>
    </row>
    <row r="106" spans="7:7" x14ac:dyDescent="0.3">
      <c r="G106" s="4"/>
    </row>
    <row r="107" spans="7:7" x14ac:dyDescent="0.3">
      <c r="G107" s="4"/>
    </row>
    <row r="108" spans="7:7" x14ac:dyDescent="0.3">
      <c r="G108" s="4"/>
    </row>
    <row r="109" spans="7:7" x14ac:dyDescent="0.3">
      <c r="G109" s="4"/>
    </row>
    <row r="110" spans="7:7" x14ac:dyDescent="0.3">
      <c r="G110" s="4"/>
    </row>
    <row r="111" spans="7:7" x14ac:dyDescent="0.3">
      <c r="G111" s="4"/>
    </row>
    <row r="112" spans="7:7" x14ac:dyDescent="0.3">
      <c r="G112" s="4"/>
    </row>
    <row r="113" spans="7:7" x14ac:dyDescent="0.3">
      <c r="G113" s="4"/>
    </row>
    <row r="114" spans="7:7" x14ac:dyDescent="0.3">
      <c r="G114" s="4"/>
    </row>
    <row r="115" spans="7:7" x14ac:dyDescent="0.3">
      <c r="G115" s="4"/>
    </row>
    <row r="116" spans="7:7" x14ac:dyDescent="0.3">
      <c r="G116" s="4"/>
    </row>
    <row r="117" spans="7:7" x14ac:dyDescent="0.3">
      <c r="G117" s="4"/>
    </row>
    <row r="118" spans="7:7" x14ac:dyDescent="0.3">
      <c r="G118" s="4"/>
    </row>
    <row r="119" spans="7:7" x14ac:dyDescent="0.3">
      <c r="G119" s="4"/>
    </row>
    <row r="120" spans="7:7" x14ac:dyDescent="0.3">
      <c r="G120" s="4"/>
    </row>
    <row r="121" spans="7:7" x14ac:dyDescent="0.3">
      <c r="G121" s="4"/>
    </row>
    <row r="122" spans="7:7" x14ac:dyDescent="0.3">
      <c r="G122" s="4"/>
    </row>
    <row r="123" spans="7:7" x14ac:dyDescent="0.3">
      <c r="G123" s="4"/>
    </row>
    <row r="124" spans="7:7" x14ac:dyDescent="0.3">
      <c r="G124" s="4"/>
    </row>
    <row r="125" spans="7:7" x14ac:dyDescent="0.3">
      <c r="G125" s="4"/>
    </row>
    <row r="126" spans="7:7" x14ac:dyDescent="0.3">
      <c r="G126" s="4"/>
    </row>
    <row r="127" spans="7:7" x14ac:dyDescent="0.3">
      <c r="G127" s="4"/>
    </row>
    <row r="128" spans="7:7" x14ac:dyDescent="0.3">
      <c r="G128" s="4"/>
    </row>
    <row r="129" spans="7:7" x14ac:dyDescent="0.3">
      <c r="G129" s="4"/>
    </row>
    <row r="130" spans="7:7" x14ac:dyDescent="0.3">
      <c r="G130" s="4"/>
    </row>
    <row r="131" spans="7:7" x14ac:dyDescent="0.3">
      <c r="G131" s="4"/>
    </row>
    <row r="132" spans="7:7" x14ac:dyDescent="0.3">
      <c r="G132" s="4"/>
    </row>
    <row r="133" spans="7:7" x14ac:dyDescent="0.3">
      <c r="G133" s="4"/>
    </row>
    <row r="134" spans="7:7" x14ac:dyDescent="0.3">
      <c r="G134" s="4"/>
    </row>
    <row r="135" spans="7:7" x14ac:dyDescent="0.3">
      <c r="G135" s="4"/>
    </row>
    <row r="136" spans="7:7" x14ac:dyDescent="0.3">
      <c r="G136" s="4"/>
    </row>
    <row r="137" spans="7:7" x14ac:dyDescent="0.3">
      <c r="G137" s="4"/>
    </row>
    <row r="138" spans="7:7" x14ac:dyDescent="0.3">
      <c r="G138" s="4"/>
    </row>
    <row r="139" spans="7:7" x14ac:dyDescent="0.3">
      <c r="G139" s="4"/>
    </row>
    <row r="140" spans="7:7" x14ac:dyDescent="0.3">
      <c r="G140" s="4"/>
    </row>
    <row r="141" spans="7:7" x14ac:dyDescent="0.3">
      <c r="G141" s="4"/>
    </row>
    <row r="142" spans="7:7" x14ac:dyDescent="0.3">
      <c r="G142" s="4"/>
    </row>
    <row r="143" spans="7:7" x14ac:dyDescent="0.3">
      <c r="G143" s="4"/>
    </row>
    <row r="144" spans="7:7" x14ac:dyDescent="0.3">
      <c r="G144" s="4"/>
    </row>
    <row r="145" spans="7:7" x14ac:dyDescent="0.3">
      <c r="G145" s="4"/>
    </row>
    <row r="146" spans="7:7" x14ac:dyDescent="0.3">
      <c r="G146" s="4"/>
    </row>
    <row r="147" spans="7:7" x14ac:dyDescent="0.3">
      <c r="G147" s="4"/>
    </row>
    <row r="148" spans="7:7" x14ac:dyDescent="0.3">
      <c r="G148" s="4"/>
    </row>
    <row r="149" spans="7:7" x14ac:dyDescent="0.3">
      <c r="G149" s="4"/>
    </row>
    <row r="150" spans="7:7" x14ac:dyDescent="0.3">
      <c r="G150" s="4"/>
    </row>
    <row r="151" spans="7:7" x14ac:dyDescent="0.3">
      <c r="G151" s="4"/>
    </row>
    <row r="152" spans="7:7" x14ac:dyDescent="0.3">
      <c r="G152" s="4"/>
    </row>
    <row r="153" spans="7:7" x14ac:dyDescent="0.3">
      <c r="G153" s="4"/>
    </row>
    <row r="154" spans="7:7" x14ac:dyDescent="0.3">
      <c r="G154" s="4"/>
    </row>
    <row r="155" spans="7:7" x14ac:dyDescent="0.3">
      <c r="G155" s="4"/>
    </row>
    <row r="156" spans="7:7" x14ac:dyDescent="0.3">
      <c r="G156" s="4"/>
    </row>
    <row r="157" spans="7:7" x14ac:dyDescent="0.3">
      <c r="G157" s="4"/>
    </row>
    <row r="158" spans="7:7" x14ac:dyDescent="0.3">
      <c r="G158" s="4"/>
    </row>
    <row r="159" spans="7:7" x14ac:dyDescent="0.3">
      <c r="G159" s="4"/>
    </row>
    <row r="160" spans="7:7" x14ac:dyDescent="0.3">
      <c r="G160" s="4"/>
    </row>
    <row r="161" spans="7:7" x14ac:dyDescent="0.3">
      <c r="G161" s="4"/>
    </row>
    <row r="162" spans="7:7" x14ac:dyDescent="0.3">
      <c r="G162" s="4"/>
    </row>
    <row r="163" spans="7:7" x14ac:dyDescent="0.3">
      <c r="G163" s="4"/>
    </row>
    <row r="164" spans="7:7" x14ac:dyDescent="0.3">
      <c r="G164" s="4"/>
    </row>
    <row r="165" spans="7:7" x14ac:dyDescent="0.3">
      <c r="G165" s="4"/>
    </row>
    <row r="166" spans="7:7" x14ac:dyDescent="0.3">
      <c r="G166" s="4"/>
    </row>
    <row r="167" spans="7:7" x14ac:dyDescent="0.3">
      <c r="G167" s="4"/>
    </row>
    <row r="168" spans="7:7" x14ac:dyDescent="0.3">
      <c r="G168" s="4"/>
    </row>
    <row r="169" spans="7:7" x14ac:dyDescent="0.3">
      <c r="G169" s="4"/>
    </row>
    <row r="170" spans="7:7" x14ac:dyDescent="0.3">
      <c r="G170" s="4"/>
    </row>
    <row r="171" spans="7:7" x14ac:dyDescent="0.3">
      <c r="G171" s="4"/>
    </row>
    <row r="172" spans="7:7" x14ac:dyDescent="0.3">
      <c r="G172" s="4"/>
    </row>
    <row r="173" spans="7:7" x14ac:dyDescent="0.3">
      <c r="G173" s="4"/>
    </row>
    <row r="174" spans="7:7" x14ac:dyDescent="0.3">
      <c r="G174" s="4"/>
    </row>
    <row r="175" spans="7:7" x14ac:dyDescent="0.3">
      <c r="G175" s="4"/>
    </row>
    <row r="176" spans="7:7" x14ac:dyDescent="0.3">
      <c r="G176" s="4"/>
    </row>
    <row r="177" spans="7:7" x14ac:dyDescent="0.3">
      <c r="G177" s="4"/>
    </row>
    <row r="178" spans="7:7" x14ac:dyDescent="0.3">
      <c r="G178" s="4"/>
    </row>
    <row r="179" spans="7:7" x14ac:dyDescent="0.3">
      <c r="G179" s="4"/>
    </row>
    <row r="180" spans="7:7" x14ac:dyDescent="0.3">
      <c r="G180" s="4"/>
    </row>
    <row r="181" spans="7:7" x14ac:dyDescent="0.3">
      <c r="G181" s="4"/>
    </row>
    <row r="182" spans="7:7" x14ac:dyDescent="0.3">
      <c r="G182" s="4"/>
    </row>
    <row r="183" spans="7:7" x14ac:dyDescent="0.3">
      <c r="G183" s="4"/>
    </row>
    <row r="184" spans="7:7" x14ac:dyDescent="0.3">
      <c r="G184" s="4"/>
    </row>
    <row r="185" spans="7:7" x14ac:dyDescent="0.3">
      <c r="G185" s="4"/>
    </row>
    <row r="186" spans="7:7" x14ac:dyDescent="0.3">
      <c r="G186" s="4"/>
    </row>
    <row r="187" spans="7:7" x14ac:dyDescent="0.3">
      <c r="G187" s="4"/>
    </row>
    <row r="188" spans="7:7" x14ac:dyDescent="0.3">
      <c r="G188" s="4"/>
    </row>
    <row r="189" spans="7:7" x14ac:dyDescent="0.3">
      <c r="G189" s="4"/>
    </row>
    <row r="190" spans="7:7" x14ac:dyDescent="0.3">
      <c r="G190" s="4"/>
    </row>
    <row r="191" spans="7:7" x14ac:dyDescent="0.3">
      <c r="G191" s="4"/>
    </row>
    <row r="192" spans="7:7" x14ac:dyDescent="0.3">
      <c r="G192" s="4"/>
    </row>
    <row r="193" spans="7:7" x14ac:dyDescent="0.3">
      <c r="G193" s="4"/>
    </row>
    <row r="194" spans="7:7" x14ac:dyDescent="0.3">
      <c r="G194" s="4"/>
    </row>
    <row r="195" spans="7:7" x14ac:dyDescent="0.3">
      <c r="G195" s="4"/>
    </row>
    <row r="196" spans="7:7" x14ac:dyDescent="0.3">
      <c r="G196" s="4"/>
    </row>
    <row r="197" spans="7:7" x14ac:dyDescent="0.3">
      <c r="G197" s="4"/>
    </row>
    <row r="198" spans="7:7" x14ac:dyDescent="0.3">
      <c r="G198" s="4"/>
    </row>
    <row r="199" spans="7:7" x14ac:dyDescent="0.3">
      <c r="G199" s="4"/>
    </row>
    <row r="200" spans="7:7" x14ac:dyDescent="0.3">
      <c r="G200" s="4"/>
    </row>
    <row r="201" spans="7:7" x14ac:dyDescent="0.3">
      <c r="G201" s="4"/>
    </row>
    <row r="202" spans="7:7" x14ac:dyDescent="0.3">
      <c r="G202" s="4"/>
    </row>
    <row r="203" spans="7:7" x14ac:dyDescent="0.3">
      <c r="G203" s="4"/>
    </row>
    <row r="204" spans="7:7" x14ac:dyDescent="0.3">
      <c r="G204" s="4"/>
    </row>
    <row r="205" spans="7:7" x14ac:dyDescent="0.3">
      <c r="G205" s="4"/>
    </row>
    <row r="206" spans="7:7" x14ac:dyDescent="0.3">
      <c r="G206" s="4"/>
    </row>
    <row r="207" spans="7:7" x14ac:dyDescent="0.3">
      <c r="G207" s="4"/>
    </row>
    <row r="208" spans="7:7" x14ac:dyDescent="0.3">
      <c r="G208" s="4"/>
    </row>
    <row r="209" spans="7:7" x14ac:dyDescent="0.3">
      <c r="G209" s="4"/>
    </row>
    <row r="210" spans="7:7" x14ac:dyDescent="0.3">
      <c r="G210" s="4"/>
    </row>
    <row r="211" spans="7:7" x14ac:dyDescent="0.3">
      <c r="G211" s="4"/>
    </row>
    <row r="212" spans="7:7" x14ac:dyDescent="0.3">
      <c r="G212" s="4"/>
    </row>
    <row r="213" spans="7:7" x14ac:dyDescent="0.3">
      <c r="G213" s="4"/>
    </row>
    <row r="214" spans="7:7" x14ac:dyDescent="0.3">
      <c r="G214" s="4"/>
    </row>
    <row r="215" spans="7:7" x14ac:dyDescent="0.3">
      <c r="G215" s="4"/>
    </row>
    <row r="216" spans="7:7" x14ac:dyDescent="0.3">
      <c r="G216" s="4"/>
    </row>
    <row r="217" spans="7:7" x14ac:dyDescent="0.3">
      <c r="G217" s="4"/>
    </row>
    <row r="218" spans="7:7" x14ac:dyDescent="0.3">
      <c r="G218" s="4"/>
    </row>
    <row r="219" spans="7:7" x14ac:dyDescent="0.3">
      <c r="G219" s="4"/>
    </row>
    <row r="220" spans="7:7" x14ac:dyDescent="0.3">
      <c r="G220" s="4"/>
    </row>
    <row r="221" spans="7:7" x14ac:dyDescent="0.3">
      <c r="G221" s="4"/>
    </row>
    <row r="222" spans="7:7" x14ac:dyDescent="0.3">
      <c r="G222" s="4"/>
    </row>
    <row r="223" spans="7:7" x14ac:dyDescent="0.3">
      <c r="G223" s="4"/>
    </row>
    <row r="224" spans="7:7" x14ac:dyDescent="0.3">
      <c r="G224" s="4"/>
    </row>
    <row r="225" spans="7:7" x14ac:dyDescent="0.3">
      <c r="G225" s="4"/>
    </row>
    <row r="226" spans="7:7" x14ac:dyDescent="0.3">
      <c r="G226" s="4"/>
    </row>
    <row r="227" spans="7:7" x14ac:dyDescent="0.3">
      <c r="G227" s="4"/>
    </row>
    <row r="228" spans="7:7" x14ac:dyDescent="0.3">
      <c r="G228" s="4"/>
    </row>
    <row r="229" spans="7:7" x14ac:dyDescent="0.3">
      <c r="G229" s="4"/>
    </row>
    <row r="230" spans="7:7" x14ac:dyDescent="0.3">
      <c r="G230" s="4"/>
    </row>
    <row r="231" spans="7:7" x14ac:dyDescent="0.3">
      <c r="G231" s="4"/>
    </row>
    <row r="232" spans="7:7" x14ac:dyDescent="0.3">
      <c r="G232" s="4"/>
    </row>
    <row r="233" spans="7:7" x14ac:dyDescent="0.3">
      <c r="G233" s="4"/>
    </row>
    <row r="234" spans="7:7" x14ac:dyDescent="0.3">
      <c r="G234" s="4"/>
    </row>
    <row r="235" spans="7:7" x14ac:dyDescent="0.3">
      <c r="G235" s="4"/>
    </row>
    <row r="236" spans="7:7" x14ac:dyDescent="0.3">
      <c r="G236" s="4"/>
    </row>
    <row r="237" spans="7:7" x14ac:dyDescent="0.3">
      <c r="G237" s="4"/>
    </row>
    <row r="238" spans="7:7" x14ac:dyDescent="0.3">
      <c r="G238" s="4"/>
    </row>
    <row r="239" spans="7:7" x14ac:dyDescent="0.3">
      <c r="G239" s="4"/>
    </row>
    <row r="240" spans="7:7" x14ac:dyDescent="0.3">
      <c r="G240" s="4"/>
    </row>
    <row r="241" spans="7:7" x14ac:dyDescent="0.3">
      <c r="G241" s="4"/>
    </row>
    <row r="242" spans="7:7" x14ac:dyDescent="0.3">
      <c r="G242" s="4"/>
    </row>
    <row r="243" spans="7:7" x14ac:dyDescent="0.3">
      <c r="G243" s="4"/>
    </row>
    <row r="244" spans="7:7" x14ac:dyDescent="0.3">
      <c r="G244" s="4"/>
    </row>
    <row r="245" spans="7:7" x14ac:dyDescent="0.3">
      <c r="G245" s="4"/>
    </row>
    <row r="246" spans="7:7" x14ac:dyDescent="0.3">
      <c r="G246" s="4"/>
    </row>
    <row r="247" spans="7:7" x14ac:dyDescent="0.3">
      <c r="G247" s="4"/>
    </row>
    <row r="248" spans="7:7" x14ac:dyDescent="0.3">
      <c r="G248" s="4"/>
    </row>
    <row r="249" spans="7:7" x14ac:dyDescent="0.3">
      <c r="G249" s="4"/>
    </row>
    <row r="250" spans="7:7" x14ac:dyDescent="0.3">
      <c r="G250" s="4"/>
    </row>
    <row r="251" spans="7:7" x14ac:dyDescent="0.3">
      <c r="G251" s="4"/>
    </row>
    <row r="252" spans="7:7" x14ac:dyDescent="0.3">
      <c r="G252" s="4"/>
    </row>
    <row r="253" spans="7:7" x14ac:dyDescent="0.3">
      <c r="G253" s="4"/>
    </row>
    <row r="254" spans="7:7" x14ac:dyDescent="0.3">
      <c r="G254" s="4"/>
    </row>
    <row r="255" spans="7:7" x14ac:dyDescent="0.3">
      <c r="G255" s="4"/>
    </row>
    <row r="256" spans="7:7" x14ac:dyDescent="0.3">
      <c r="G256" s="4"/>
    </row>
    <row r="257" spans="7:7" x14ac:dyDescent="0.3">
      <c r="G257" s="4"/>
    </row>
    <row r="258" spans="7:7" x14ac:dyDescent="0.3">
      <c r="G258" s="4"/>
    </row>
    <row r="259" spans="7:7" x14ac:dyDescent="0.3">
      <c r="G259" s="4"/>
    </row>
    <row r="260" spans="7:7" x14ac:dyDescent="0.3">
      <c r="G260" s="4"/>
    </row>
    <row r="261" spans="7:7" x14ac:dyDescent="0.3">
      <c r="G261" s="4"/>
    </row>
    <row r="262" spans="7:7" x14ac:dyDescent="0.3">
      <c r="G262" s="4"/>
    </row>
    <row r="263" spans="7:7" x14ac:dyDescent="0.3">
      <c r="G263" s="4"/>
    </row>
    <row r="264" spans="7:7" x14ac:dyDescent="0.3">
      <c r="G264" s="4"/>
    </row>
    <row r="265" spans="7:7" x14ac:dyDescent="0.3">
      <c r="G265" s="4"/>
    </row>
    <row r="266" spans="7:7" x14ac:dyDescent="0.3">
      <c r="G266" s="4"/>
    </row>
    <row r="267" spans="7:7" x14ac:dyDescent="0.3">
      <c r="G267" s="4"/>
    </row>
    <row r="268" spans="7:7" x14ac:dyDescent="0.3">
      <c r="G268" s="4"/>
    </row>
    <row r="269" spans="7:7" x14ac:dyDescent="0.3">
      <c r="G269" s="4"/>
    </row>
    <row r="270" spans="7:7" x14ac:dyDescent="0.3">
      <c r="G270" s="4"/>
    </row>
    <row r="271" spans="7:7" x14ac:dyDescent="0.3">
      <c r="G271" s="4"/>
    </row>
    <row r="272" spans="7:7" x14ac:dyDescent="0.3">
      <c r="G272" s="4"/>
    </row>
    <row r="273" spans="7:7" x14ac:dyDescent="0.3">
      <c r="G273" s="4"/>
    </row>
    <row r="274" spans="7:7" x14ac:dyDescent="0.3">
      <c r="G274" s="4"/>
    </row>
    <row r="275" spans="7:7" x14ac:dyDescent="0.3">
      <c r="G275" s="4"/>
    </row>
    <row r="276" spans="7:7" x14ac:dyDescent="0.3">
      <c r="G276" s="4"/>
    </row>
    <row r="277" spans="7:7" x14ac:dyDescent="0.3">
      <c r="G277" s="4"/>
    </row>
    <row r="278" spans="7:7" x14ac:dyDescent="0.3">
      <c r="G278" s="4"/>
    </row>
    <row r="279" spans="7:7" x14ac:dyDescent="0.3">
      <c r="G279" s="4"/>
    </row>
    <row r="280" spans="7:7" x14ac:dyDescent="0.3">
      <c r="G280" s="4"/>
    </row>
    <row r="281" spans="7:7" x14ac:dyDescent="0.3">
      <c r="G281" s="4"/>
    </row>
    <row r="282" spans="7:7" x14ac:dyDescent="0.3">
      <c r="G282" s="4"/>
    </row>
    <row r="283" spans="7:7" x14ac:dyDescent="0.3">
      <c r="G283" s="4"/>
    </row>
    <row r="284" spans="7:7" x14ac:dyDescent="0.3">
      <c r="G284" s="4"/>
    </row>
    <row r="285" spans="7:7" x14ac:dyDescent="0.3">
      <c r="G285" s="4"/>
    </row>
    <row r="286" spans="7:7" x14ac:dyDescent="0.3">
      <c r="G286" s="4"/>
    </row>
    <row r="287" spans="7:7" x14ac:dyDescent="0.3">
      <c r="G287" s="4"/>
    </row>
    <row r="288" spans="7:7" x14ac:dyDescent="0.3">
      <c r="G288" s="4"/>
    </row>
    <row r="289" spans="7:7" x14ac:dyDescent="0.3">
      <c r="G289" s="4"/>
    </row>
    <row r="290" spans="7:7" x14ac:dyDescent="0.3">
      <c r="G290" s="4"/>
    </row>
    <row r="291" spans="7:7" x14ac:dyDescent="0.3">
      <c r="G291" s="4"/>
    </row>
    <row r="292" spans="7:7" x14ac:dyDescent="0.3">
      <c r="G292" s="4"/>
    </row>
    <row r="293" spans="7:7" x14ac:dyDescent="0.3">
      <c r="G293" s="4"/>
    </row>
    <row r="294" spans="7:7" x14ac:dyDescent="0.3">
      <c r="G294" s="4"/>
    </row>
    <row r="295" spans="7:7" x14ac:dyDescent="0.3">
      <c r="G295" s="4"/>
    </row>
    <row r="296" spans="7:7" x14ac:dyDescent="0.3">
      <c r="G296" s="4"/>
    </row>
    <row r="297" spans="7:7" x14ac:dyDescent="0.3">
      <c r="G297" s="4"/>
    </row>
    <row r="298" spans="7:7" x14ac:dyDescent="0.3">
      <c r="G298" s="4"/>
    </row>
    <row r="299" spans="7:7" x14ac:dyDescent="0.3">
      <c r="G299" s="4"/>
    </row>
    <row r="300" spans="7:7" x14ac:dyDescent="0.3">
      <c r="G300" s="4"/>
    </row>
    <row r="301" spans="7:7" x14ac:dyDescent="0.3">
      <c r="G301" s="4"/>
    </row>
    <row r="302" spans="7:7" x14ac:dyDescent="0.3">
      <c r="G302" s="4"/>
    </row>
    <row r="303" spans="7:7" x14ac:dyDescent="0.3">
      <c r="G303" s="4"/>
    </row>
    <row r="304" spans="7:7" x14ac:dyDescent="0.3">
      <c r="G304" s="4"/>
    </row>
    <row r="305" spans="7:7" x14ac:dyDescent="0.3">
      <c r="G305" s="4"/>
    </row>
    <row r="306" spans="7:7" x14ac:dyDescent="0.3">
      <c r="G306" s="4"/>
    </row>
    <row r="307" spans="7:7" x14ac:dyDescent="0.3">
      <c r="G307" s="4"/>
    </row>
    <row r="308" spans="7:7" x14ac:dyDescent="0.3">
      <c r="G308" s="4"/>
    </row>
    <row r="309" spans="7:7" x14ac:dyDescent="0.3">
      <c r="G309" s="4"/>
    </row>
    <row r="310" spans="7:7" x14ac:dyDescent="0.3">
      <c r="G310" s="4"/>
    </row>
    <row r="311" spans="7:7" x14ac:dyDescent="0.3">
      <c r="G311" s="4"/>
    </row>
    <row r="312" spans="7:7" x14ac:dyDescent="0.3">
      <c r="G312" s="4"/>
    </row>
    <row r="313" spans="7:7" x14ac:dyDescent="0.3">
      <c r="G313" s="4"/>
    </row>
    <row r="314" spans="7:7" x14ac:dyDescent="0.3">
      <c r="G314" s="4"/>
    </row>
    <row r="315" spans="7:7" x14ac:dyDescent="0.3">
      <c r="G315" s="4"/>
    </row>
    <row r="316" spans="7:7" x14ac:dyDescent="0.3">
      <c r="G316" s="4"/>
    </row>
    <row r="317" spans="7:7" x14ac:dyDescent="0.3">
      <c r="G317" s="4"/>
    </row>
    <row r="318" spans="7:7" x14ac:dyDescent="0.3">
      <c r="G318" s="4"/>
    </row>
    <row r="319" spans="7:7" x14ac:dyDescent="0.3">
      <c r="G319" s="4"/>
    </row>
    <row r="320" spans="7:7" x14ac:dyDescent="0.3">
      <c r="G320" s="4"/>
    </row>
    <row r="321" spans="7:7" x14ac:dyDescent="0.3">
      <c r="G321" s="4"/>
    </row>
    <row r="322" spans="7:7" x14ac:dyDescent="0.3">
      <c r="G322" s="4"/>
    </row>
    <row r="323" spans="7:7" x14ac:dyDescent="0.3">
      <c r="G323" s="4"/>
    </row>
    <row r="324" spans="7:7" x14ac:dyDescent="0.3">
      <c r="G324" s="4"/>
    </row>
    <row r="325" spans="7:7" x14ac:dyDescent="0.3">
      <c r="G325" s="4"/>
    </row>
    <row r="326" spans="7:7" x14ac:dyDescent="0.3">
      <c r="G326" s="4"/>
    </row>
    <row r="327" spans="7:7" x14ac:dyDescent="0.3">
      <c r="G327" s="4"/>
    </row>
    <row r="328" spans="7:7" x14ac:dyDescent="0.3">
      <c r="G328" s="4"/>
    </row>
    <row r="329" spans="7:7" x14ac:dyDescent="0.3">
      <c r="G329" s="4"/>
    </row>
    <row r="330" spans="7:7" x14ac:dyDescent="0.3">
      <c r="G330" s="4"/>
    </row>
    <row r="331" spans="7:7" x14ac:dyDescent="0.3">
      <c r="G331" s="4"/>
    </row>
    <row r="332" spans="7:7" x14ac:dyDescent="0.3">
      <c r="G332" s="4"/>
    </row>
    <row r="333" spans="7:7" x14ac:dyDescent="0.3">
      <c r="G333" s="4"/>
    </row>
    <row r="334" spans="7:7" x14ac:dyDescent="0.3">
      <c r="G334" s="4"/>
    </row>
    <row r="335" spans="7:7" x14ac:dyDescent="0.3">
      <c r="G335" s="4"/>
    </row>
    <row r="336" spans="7:7" x14ac:dyDescent="0.3">
      <c r="G336" s="4"/>
    </row>
    <row r="337" spans="7:7" x14ac:dyDescent="0.3">
      <c r="G337" s="4"/>
    </row>
    <row r="338" spans="7:7" x14ac:dyDescent="0.3">
      <c r="G338" s="4"/>
    </row>
    <row r="339" spans="7:7" x14ac:dyDescent="0.3">
      <c r="G339" s="4"/>
    </row>
    <row r="340" spans="7:7" x14ac:dyDescent="0.3">
      <c r="G340" s="4"/>
    </row>
    <row r="341" spans="7:7" x14ac:dyDescent="0.3">
      <c r="G341" s="4"/>
    </row>
    <row r="342" spans="7:7" x14ac:dyDescent="0.3">
      <c r="G342" s="4"/>
    </row>
    <row r="343" spans="7:7" x14ac:dyDescent="0.3">
      <c r="G343" s="4"/>
    </row>
    <row r="344" spans="7:7" x14ac:dyDescent="0.3">
      <c r="G344" s="4"/>
    </row>
    <row r="345" spans="7:7" x14ac:dyDescent="0.3">
      <c r="G345" s="4"/>
    </row>
    <row r="346" spans="7:7" x14ac:dyDescent="0.3">
      <c r="G346" s="4"/>
    </row>
    <row r="347" spans="7:7" x14ac:dyDescent="0.3">
      <c r="G347" s="4"/>
    </row>
    <row r="348" spans="7:7" x14ac:dyDescent="0.3">
      <c r="G348" s="4"/>
    </row>
    <row r="349" spans="7:7" x14ac:dyDescent="0.3">
      <c r="G349" s="4"/>
    </row>
    <row r="350" spans="7:7" x14ac:dyDescent="0.3">
      <c r="G350" s="4"/>
    </row>
    <row r="351" spans="7:7" x14ac:dyDescent="0.3">
      <c r="G351" s="4"/>
    </row>
    <row r="352" spans="7:7" x14ac:dyDescent="0.3">
      <c r="G352" s="4"/>
    </row>
    <row r="353" spans="7:7" x14ac:dyDescent="0.3">
      <c r="G353" s="4"/>
    </row>
    <row r="354" spans="7:7" x14ac:dyDescent="0.3">
      <c r="G354" s="4"/>
    </row>
    <row r="355" spans="7:7" x14ac:dyDescent="0.3">
      <c r="G355" s="4"/>
    </row>
    <row r="356" spans="7:7" x14ac:dyDescent="0.3">
      <c r="G356" s="4"/>
    </row>
    <row r="357" spans="7:7" x14ac:dyDescent="0.3">
      <c r="G357" s="4"/>
    </row>
    <row r="358" spans="7:7" x14ac:dyDescent="0.3">
      <c r="G358" s="4"/>
    </row>
    <row r="359" spans="7:7" x14ac:dyDescent="0.3">
      <c r="G359" s="4"/>
    </row>
    <row r="360" spans="7:7" x14ac:dyDescent="0.3">
      <c r="G360" s="4"/>
    </row>
    <row r="361" spans="7:7" x14ac:dyDescent="0.3">
      <c r="G361" s="4"/>
    </row>
    <row r="362" spans="7:7" x14ac:dyDescent="0.3">
      <c r="G362" s="4"/>
    </row>
    <row r="363" spans="7:7" x14ac:dyDescent="0.3">
      <c r="G363" s="4"/>
    </row>
    <row r="364" spans="7:7" x14ac:dyDescent="0.3">
      <c r="G364" s="4"/>
    </row>
    <row r="365" spans="7:7" x14ac:dyDescent="0.3">
      <c r="G365" s="4"/>
    </row>
    <row r="366" spans="7:7" x14ac:dyDescent="0.3">
      <c r="G366" s="4"/>
    </row>
    <row r="367" spans="7:7" x14ac:dyDescent="0.3">
      <c r="G367" s="4"/>
    </row>
    <row r="368" spans="7:7" x14ac:dyDescent="0.3">
      <c r="G368" s="4"/>
    </row>
    <row r="369" spans="7:7" x14ac:dyDescent="0.3">
      <c r="G369" s="4"/>
    </row>
    <row r="370" spans="7:7" x14ac:dyDescent="0.3">
      <c r="G370" s="4"/>
    </row>
    <row r="371" spans="7:7" x14ac:dyDescent="0.3">
      <c r="G371" s="4"/>
    </row>
    <row r="372" spans="7:7" x14ac:dyDescent="0.3">
      <c r="G372" s="4"/>
    </row>
    <row r="373" spans="7:7" x14ac:dyDescent="0.3">
      <c r="G373" s="4"/>
    </row>
    <row r="374" spans="7:7" x14ac:dyDescent="0.3">
      <c r="G374" s="4"/>
    </row>
    <row r="375" spans="7:7" x14ac:dyDescent="0.3">
      <c r="G375" s="4"/>
    </row>
    <row r="376" spans="7:7" x14ac:dyDescent="0.3">
      <c r="G376" s="4"/>
    </row>
    <row r="377" spans="7:7" x14ac:dyDescent="0.3">
      <c r="G377" s="4"/>
    </row>
    <row r="378" spans="7:7" x14ac:dyDescent="0.3">
      <c r="G378" s="4"/>
    </row>
    <row r="379" spans="7:7" x14ac:dyDescent="0.3">
      <c r="G379" s="4"/>
    </row>
    <row r="380" spans="7:7" x14ac:dyDescent="0.3">
      <c r="G380" s="4"/>
    </row>
    <row r="381" spans="7:7" x14ac:dyDescent="0.3">
      <c r="G381" s="4"/>
    </row>
    <row r="382" spans="7:7" x14ac:dyDescent="0.3">
      <c r="G382" s="4"/>
    </row>
    <row r="383" spans="7:7" x14ac:dyDescent="0.3">
      <c r="G383" s="4"/>
    </row>
    <row r="384" spans="7:7" x14ac:dyDescent="0.3">
      <c r="G384" s="4"/>
    </row>
    <row r="385" spans="7:7" x14ac:dyDescent="0.3">
      <c r="G385" s="4"/>
    </row>
    <row r="386" spans="7:7" x14ac:dyDescent="0.3">
      <c r="G386" s="4"/>
    </row>
    <row r="387" spans="7:7" x14ac:dyDescent="0.3">
      <c r="G387" s="4"/>
    </row>
    <row r="388" spans="7:7" x14ac:dyDescent="0.3">
      <c r="G388" s="4"/>
    </row>
    <row r="389" spans="7:7" x14ac:dyDescent="0.3">
      <c r="G389" s="4"/>
    </row>
    <row r="390" spans="7:7" x14ac:dyDescent="0.3">
      <c r="G390" s="4"/>
    </row>
    <row r="391" spans="7:7" x14ac:dyDescent="0.3">
      <c r="G391" s="4"/>
    </row>
    <row r="392" spans="7:7" x14ac:dyDescent="0.3">
      <c r="G392" s="4"/>
    </row>
    <row r="393" spans="7:7" x14ac:dyDescent="0.3">
      <c r="G393" s="4"/>
    </row>
    <row r="394" spans="7:7" x14ac:dyDescent="0.3">
      <c r="G394" s="4"/>
    </row>
    <row r="395" spans="7:7" x14ac:dyDescent="0.3">
      <c r="G395" s="4"/>
    </row>
    <row r="396" spans="7:7" x14ac:dyDescent="0.3">
      <c r="G396" s="4"/>
    </row>
    <row r="397" spans="7:7" x14ac:dyDescent="0.3">
      <c r="G397" s="4"/>
    </row>
    <row r="398" spans="7:7" x14ac:dyDescent="0.3">
      <c r="G398" s="4"/>
    </row>
    <row r="399" spans="7:7" x14ac:dyDescent="0.3">
      <c r="G399" s="4"/>
    </row>
    <row r="400" spans="7:7" x14ac:dyDescent="0.3">
      <c r="G400" s="4"/>
    </row>
    <row r="401" spans="7:7" x14ac:dyDescent="0.3">
      <c r="G401" s="4"/>
    </row>
    <row r="402" spans="7:7" x14ac:dyDescent="0.3">
      <c r="G402" s="4"/>
    </row>
    <row r="403" spans="7:7" x14ac:dyDescent="0.3">
      <c r="G403" s="4"/>
    </row>
    <row r="404" spans="7:7" x14ac:dyDescent="0.3">
      <c r="G404" s="4"/>
    </row>
    <row r="405" spans="7:7" x14ac:dyDescent="0.3">
      <c r="G405" s="4"/>
    </row>
    <row r="406" spans="7:7" x14ac:dyDescent="0.3">
      <c r="G406" s="4"/>
    </row>
    <row r="407" spans="7:7" x14ac:dyDescent="0.3">
      <c r="G407" s="4"/>
    </row>
    <row r="408" spans="7:7" x14ac:dyDescent="0.3">
      <c r="G408" s="4"/>
    </row>
    <row r="409" spans="7:7" x14ac:dyDescent="0.3">
      <c r="G409" s="4"/>
    </row>
    <row r="410" spans="7:7" x14ac:dyDescent="0.3">
      <c r="G410" s="4"/>
    </row>
    <row r="411" spans="7:7" x14ac:dyDescent="0.3">
      <c r="G411" s="4"/>
    </row>
    <row r="412" spans="7:7" x14ac:dyDescent="0.3">
      <c r="G412" s="4"/>
    </row>
    <row r="413" spans="7:7" x14ac:dyDescent="0.3">
      <c r="G413" s="4"/>
    </row>
    <row r="414" spans="7:7" x14ac:dyDescent="0.3">
      <c r="G414" s="4"/>
    </row>
    <row r="415" spans="7:7" x14ac:dyDescent="0.3">
      <c r="G415" s="4"/>
    </row>
    <row r="416" spans="7:7" x14ac:dyDescent="0.3">
      <c r="G416" s="4"/>
    </row>
    <row r="417" spans="7:7" x14ac:dyDescent="0.3">
      <c r="G417" s="4"/>
    </row>
    <row r="418" spans="7:7" x14ac:dyDescent="0.3">
      <c r="G418" s="4"/>
    </row>
    <row r="419" spans="7:7" x14ac:dyDescent="0.3">
      <c r="G419" s="4"/>
    </row>
    <row r="420" spans="7:7" x14ac:dyDescent="0.3">
      <c r="G420" s="4"/>
    </row>
    <row r="421" spans="7:7" x14ac:dyDescent="0.3">
      <c r="G421" s="4"/>
    </row>
    <row r="422" spans="7:7" x14ac:dyDescent="0.3">
      <c r="G422" s="4"/>
    </row>
    <row r="423" spans="7:7" x14ac:dyDescent="0.3">
      <c r="G423" s="4"/>
    </row>
    <row r="424" spans="7:7" x14ac:dyDescent="0.3">
      <c r="G424" s="4"/>
    </row>
    <row r="425" spans="7:7" x14ac:dyDescent="0.3">
      <c r="G425" s="4"/>
    </row>
    <row r="426" spans="7:7" x14ac:dyDescent="0.3">
      <c r="G426" s="4"/>
    </row>
    <row r="427" spans="7:7" x14ac:dyDescent="0.3">
      <c r="G427" s="4"/>
    </row>
    <row r="428" spans="7:7" x14ac:dyDescent="0.3">
      <c r="G428" s="4"/>
    </row>
    <row r="429" spans="7:7" x14ac:dyDescent="0.3">
      <c r="G429" s="4"/>
    </row>
    <row r="430" spans="7:7" x14ac:dyDescent="0.3">
      <c r="G430" s="4"/>
    </row>
    <row r="431" spans="7:7" x14ac:dyDescent="0.3">
      <c r="G431" s="4"/>
    </row>
    <row r="432" spans="7:7" x14ac:dyDescent="0.3">
      <c r="G432" s="4"/>
    </row>
    <row r="433" spans="7:7" x14ac:dyDescent="0.3">
      <c r="G433" s="4"/>
    </row>
    <row r="434" spans="7:7" x14ac:dyDescent="0.3">
      <c r="G434" s="4"/>
    </row>
    <row r="435" spans="7:7" x14ac:dyDescent="0.3">
      <c r="G435" s="4"/>
    </row>
    <row r="436" spans="7:7" x14ac:dyDescent="0.3">
      <c r="G436" s="4"/>
    </row>
    <row r="437" spans="7:7" x14ac:dyDescent="0.3">
      <c r="G437" s="4"/>
    </row>
    <row r="438" spans="7:7" x14ac:dyDescent="0.3">
      <c r="G438" s="4"/>
    </row>
    <row r="439" spans="7:7" x14ac:dyDescent="0.3">
      <c r="G439" s="4"/>
    </row>
    <row r="440" spans="7:7" x14ac:dyDescent="0.3">
      <c r="G440" s="4"/>
    </row>
    <row r="441" spans="7:7" x14ac:dyDescent="0.3">
      <c r="G441" s="4"/>
    </row>
    <row r="442" spans="7:7" x14ac:dyDescent="0.3">
      <c r="G442" s="4"/>
    </row>
    <row r="443" spans="7:7" x14ac:dyDescent="0.3">
      <c r="G443" s="4"/>
    </row>
    <row r="444" spans="7:7" x14ac:dyDescent="0.3">
      <c r="G444" s="4"/>
    </row>
    <row r="445" spans="7:7" x14ac:dyDescent="0.3">
      <c r="G445" s="4"/>
    </row>
    <row r="446" spans="7:7" x14ac:dyDescent="0.3">
      <c r="G446" s="4"/>
    </row>
    <row r="447" spans="7:7" x14ac:dyDescent="0.3">
      <c r="G447" s="4"/>
    </row>
    <row r="448" spans="7:7" x14ac:dyDescent="0.3">
      <c r="G448" s="4"/>
    </row>
    <row r="449" spans="7:7" x14ac:dyDescent="0.3">
      <c r="G449" s="4"/>
    </row>
    <row r="450" spans="7:7" x14ac:dyDescent="0.3">
      <c r="G450" s="4"/>
    </row>
    <row r="451" spans="7:7" x14ac:dyDescent="0.3">
      <c r="G451" s="4"/>
    </row>
    <row r="452" spans="7:7" x14ac:dyDescent="0.3">
      <c r="G452" s="4"/>
    </row>
    <row r="453" spans="7:7" x14ac:dyDescent="0.3">
      <c r="G453" s="4"/>
    </row>
    <row r="454" spans="7:7" x14ac:dyDescent="0.3">
      <c r="G454" s="4"/>
    </row>
    <row r="455" spans="7:7" x14ac:dyDescent="0.3">
      <c r="G455" s="4"/>
    </row>
    <row r="456" spans="7:7" x14ac:dyDescent="0.3">
      <c r="G456" s="4"/>
    </row>
    <row r="457" spans="7:7" x14ac:dyDescent="0.3">
      <c r="G457" s="4"/>
    </row>
    <row r="458" spans="7:7" x14ac:dyDescent="0.3">
      <c r="G458" s="4"/>
    </row>
    <row r="459" spans="7:7" x14ac:dyDescent="0.3">
      <c r="G459" s="4"/>
    </row>
    <row r="460" spans="7:7" x14ac:dyDescent="0.3">
      <c r="G460" s="4"/>
    </row>
    <row r="461" spans="7:7" x14ac:dyDescent="0.3">
      <c r="G461" s="4"/>
    </row>
    <row r="462" spans="7:7" x14ac:dyDescent="0.3">
      <c r="G462" s="4"/>
    </row>
    <row r="463" spans="7:7" x14ac:dyDescent="0.3">
      <c r="G463" s="4"/>
    </row>
    <row r="464" spans="7:7" x14ac:dyDescent="0.3">
      <c r="G464" s="4"/>
    </row>
    <row r="465" spans="7:7" x14ac:dyDescent="0.3">
      <c r="G465" s="4"/>
    </row>
    <row r="466" spans="7:7" x14ac:dyDescent="0.3">
      <c r="G466" s="4"/>
    </row>
    <row r="467" spans="7:7" x14ac:dyDescent="0.3">
      <c r="G467" s="4"/>
    </row>
    <row r="468" spans="7:7" x14ac:dyDescent="0.3">
      <c r="G468" s="4"/>
    </row>
    <row r="469" spans="7:7" x14ac:dyDescent="0.3">
      <c r="G469" s="4"/>
    </row>
    <row r="470" spans="7:7" x14ac:dyDescent="0.3">
      <c r="G470" s="4"/>
    </row>
    <row r="471" spans="7:7" x14ac:dyDescent="0.3">
      <c r="G471" s="4"/>
    </row>
    <row r="472" spans="7:7" x14ac:dyDescent="0.3">
      <c r="G472" s="4"/>
    </row>
    <row r="473" spans="7:7" x14ac:dyDescent="0.3">
      <c r="G473" s="4"/>
    </row>
    <row r="474" spans="7:7" x14ac:dyDescent="0.3">
      <c r="G474" s="4"/>
    </row>
    <row r="475" spans="7:7" x14ac:dyDescent="0.3">
      <c r="G475" s="4"/>
    </row>
    <row r="476" spans="7:7" x14ac:dyDescent="0.3">
      <c r="G476" s="4"/>
    </row>
    <row r="477" spans="7:7" x14ac:dyDescent="0.3">
      <c r="G477" s="4"/>
    </row>
    <row r="478" spans="7:7" x14ac:dyDescent="0.3">
      <c r="G478" s="4"/>
    </row>
    <row r="479" spans="7:7" x14ac:dyDescent="0.3">
      <c r="G479" s="4"/>
    </row>
    <row r="480" spans="7:7" x14ac:dyDescent="0.3">
      <c r="G480" s="4"/>
    </row>
    <row r="481" spans="7:7" x14ac:dyDescent="0.3">
      <c r="G481" s="4"/>
    </row>
    <row r="482" spans="7:7" x14ac:dyDescent="0.3">
      <c r="G482" s="4"/>
    </row>
    <row r="483" spans="7:7" x14ac:dyDescent="0.3">
      <c r="G483" s="4"/>
    </row>
    <row r="484" spans="7:7" x14ac:dyDescent="0.3">
      <c r="G484" s="4"/>
    </row>
    <row r="485" spans="7:7" x14ac:dyDescent="0.3">
      <c r="G485" s="4"/>
    </row>
    <row r="486" spans="7:7" x14ac:dyDescent="0.3">
      <c r="G486" s="4"/>
    </row>
    <row r="487" spans="7:7" x14ac:dyDescent="0.3">
      <c r="G487" s="4"/>
    </row>
    <row r="488" spans="7:7" x14ac:dyDescent="0.3">
      <c r="G488" s="4"/>
    </row>
    <row r="489" spans="7:7" x14ac:dyDescent="0.3">
      <c r="G489" s="4"/>
    </row>
    <row r="490" spans="7:7" x14ac:dyDescent="0.3">
      <c r="G490" s="4"/>
    </row>
    <row r="491" spans="7:7" x14ac:dyDescent="0.3">
      <c r="G491" s="4"/>
    </row>
    <row r="492" spans="7:7" x14ac:dyDescent="0.3">
      <c r="G492" s="4"/>
    </row>
    <row r="493" spans="7:7" x14ac:dyDescent="0.3">
      <c r="G493" s="4"/>
    </row>
    <row r="494" spans="7:7" x14ac:dyDescent="0.3">
      <c r="G494" s="4"/>
    </row>
    <row r="495" spans="7:7" x14ac:dyDescent="0.3">
      <c r="G495" s="4"/>
    </row>
    <row r="496" spans="7:7" x14ac:dyDescent="0.3">
      <c r="G496" s="4"/>
    </row>
    <row r="497" spans="7:7" x14ac:dyDescent="0.3">
      <c r="G497" s="4"/>
    </row>
    <row r="498" spans="7:7" x14ac:dyDescent="0.3">
      <c r="G498" s="4"/>
    </row>
    <row r="499" spans="7:7" x14ac:dyDescent="0.3">
      <c r="G499" s="4"/>
    </row>
    <row r="500" spans="7:7" x14ac:dyDescent="0.3">
      <c r="G500" s="4"/>
    </row>
    <row r="501" spans="7:7" x14ac:dyDescent="0.3">
      <c r="G501" s="4"/>
    </row>
    <row r="502" spans="7:7" x14ac:dyDescent="0.3">
      <c r="G502" s="4"/>
    </row>
    <row r="503" spans="7:7" x14ac:dyDescent="0.3">
      <c r="G503" s="4"/>
    </row>
    <row r="504" spans="7:7" x14ac:dyDescent="0.3">
      <c r="G504" s="4"/>
    </row>
    <row r="505" spans="7:7" x14ac:dyDescent="0.3">
      <c r="G505" s="4"/>
    </row>
    <row r="506" spans="7:7" x14ac:dyDescent="0.3">
      <c r="G506" s="4"/>
    </row>
    <row r="507" spans="7:7" x14ac:dyDescent="0.3">
      <c r="G507" s="4"/>
    </row>
    <row r="508" spans="7:7" x14ac:dyDescent="0.3">
      <c r="G508" s="4"/>
    </row>
    <row r="509" spans="7:7" x14ac:dyDescent="0.3">
      <c r="G509" s="4"/>
    </row>
    <row r="510" spans="7:7" x14ac:dyDescent="0.3">
      <c r="G510" s="4"/>
    </row>
    <row r="511" spans="7:7" x14ac:dyDescent="0.3">
      <c r="G511" s="4"/>
    </row>
    <row r="512" spans="7:7" x14ac:dyDescent="0.3">
      <c r="G512" s="4"/>
    </row>
    <row r="513" spans="7:7" x14ac:dyDescent="0.3">
      <c r="G513" s="4"/>
    </row>
    <row r="514" spans="7:7" x14ac:dyDescent="0.3">
      <c r="G514" s="4"/>
    </row>
    <row r="515" spans="7:7" x14ac:dyDescent="0.3">
      <c r="G515" s="4"/>
    </row>
    <row r="516" spans="7:7" x14ac:dyDescent="0.3">
      <c r="G516" s="4"/>
    </row>
    <row r="517" spans="7:7" x14ac:dyDescent="0.3">
      <c r="G517" s="4"/>
    </row>
    <row r="518" spans="7:7" x14ac:dyDescent="0.3">
      <c r="G518" s="4"/>
    </row>
    <row r="519" spans="7:7" x14ac:dyDescent="0.3">
      <c r="G519" s="4"/>
    </row>
    <row r="520" spans="7:7" x14ac:dyDescent="0.3">
      <c r="G520" s="4"/>
    </row>
    <row r="521" spans="7:7" x14ac:dyDescent="0.3">
      <c r="G521" s="4"/>
    </row>
    <row r="522" spans="7:7" x14ac:dyDescent="0.3">
      <c r="G522" s="4"/>
    </row>
    <row r="523" spans="7:7" x14ac:dyDescent="0.3">
      <c r="G523" s="4"/>
    </row>
    <row r="524" spans="7:7" x14ac:dyDescent="0.3">
      <c r="G524" s="4"/>
    </row>
    <row r="525" spans="7:7" x14ac:dyDescent="0.3">
      <c r="G525" s="4"/>
    </row>
    <row r="526" spans="7:7" x14ac:dyDescent="0.3">
      <c r="G526" s="4"/>
    </row>
    <row r="527" spans="7:7" x14ac:dyDescent="0.3">
      <c r="G527" s="4"/>
    </row>
    <row r="528" spans="7:7" x14ac:dyDescent="0.3">
      <c r="G528" s="4"/>
    </row>
    <row r="529" spans="7:7" x14ac:dyDescent="0.3">
      <c r="G529" s="4"/>
    </row>
    <row r="530" spans="7:7" x14ac:dyDescent="0.3">
      <c r="G530" s="4"/>
    </row>
    <row r="531" spans="7:7" x14ac:dyDescent="0.3">
      <c r="G531" s="4"/>
    </row>
    <row r="532" spans="7:7" x14ac:dyDescent="0.3">
      <c r="G532" s="4"/>
    </row>
    <row r="533" spans="7:7" x14ac:dyDescent="0.3">
      <c r="G533" s="4"/>
    </row>
    <row r="534" spans="7:7" x14ac:dyDescent="0.3">
      <c r="G534" s="4"/>
    </row>
    <row r="535" spans="7:7" x14ac:dyDescent="0.3">
      <c r="G535" s="4"/>
    </row>
    <row r="536" spans="7:7" x14ac:dyDescent="0.3">
      <c r="G536" s="4"/>
    </row>
    <row r="537" spans="7:7" x14ac:dyDescent="0.3">
      <c r="G537" s="4"/>
    </row>
    <row r="538" spans="7:7" x14ac:dyDescent="0.3">
      <c r="G538" s="4"/>
    </row>
    <row r="539" spans="7:7" x14ac:dyDescent="0.3">
      <c r="G539" s="4"/>
    </row>
    <row r="540" spans="7:7" x14ac:dyDescent="0.3">
      <c r="G540" s="4"/>
    </row>
    <row r="541" spans="7:7" x14ac:dyDescent="0.3">
      <c r="G541" s="4"/>
    </row>
    <row r="542" spans="7:7" x14ac:dyDescent="0.3">
      <c r="G542" s="4"/>
    </row>
    <row r="543" spans="7:7" x14ac:dyDescent="0.3">
      <c r="G543" s="4"/>
    </row>
    <row r="544" spans="7:7" x14ac:dyDescent="0.3">
      <c r="G544" s="4"/>
    </row>
    <row r="545" spans="7:7" x14ac:dyDescent="0.3">
      <c r="G545" s="4"/>
    </row>
    <row r="546" spans="7:7" x14ac:dyDescent="0.3">
      <c r="G546" s="4"/>
    </row>
    <row r="547" spans="7:7" x14ac:dyDescent="0.3">
      <c r="G547" s="4"/>
    </row>
    <row r="548" spans="7:7" x14ac:dyDescent="0.3">
      <c r="G548" s="4"/>
    </row>
  </sheetData>
  <mergeCells count="10">
    <mergeCell ref="A1:K1"/>
    <mergeCell ref="G2:G3"/>
    <mergeCell ref="H2:J2"/>
    <mergeCell ref="K2:K3"/>
    <mergeCell ref="A16:K16"/>
    <mergeCell ref="A2:A3"/>
    <mergeCell ref="B2:B3"/>
    <mergeCell ref="C2:C3"/>
    <mergeCell ref="E2:E3"/>
    <mergeCell ref="F2:F3"/>
  </mergeCells>
  <pageMargins left="0.55118110236220474" right="0.15748031496062992" top="0.74803149606299213" bottom="0.74803149606299213" header="0.31496062992125984" footer="0.31496062992125984"/>
  <pageSetup scale="9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0C09-4C85-4034-8141-499D54C2ED1D}">
  <sheetPr>
    <tabColor theme="9" tint="-0.249977111117893"/>
  </sheetPr>
  <dimension ref="A1:K548"/>
  <sheetViews>
    <sheetView tabSelected="1" topLeftCell="A13" zoomScale="120" zoomScaleNormal="120" zoomScaleSheetLayoutView="160" workbookViewId="0">
      <selection activeCell="H34" sqref="H34"/>
    </sheetView>
  </sheetViews>
  <sheetFormatPr baseColWidth="10" defaultRowHeight="14.4" x14ac:dyDescent="0.3"/>
  <cols>
    <col min="1" max="1" width="3.6640625" style="2" customWidth="1"/>
    <col min="2" max="2" width="13.6640625" style="3" customWidth="1"/>
    <col min="3" max="3" width="24.44140625" style="2" customWidth="1"/>
    <col min="4" max="4" width="0.109375" style="4" customWidth="1"/>
    <col min="5" max="5" width="12.33203125" style="7" customWidth="1"/>
    <col min="6" max="6" width="12.6640625" style="4" customWidth="1"/>
    <col min="7" max="7" width="13.88671875" style="2" customWidth="1"/>
    <col min="8" max="8" width="12" style="2" customWidth="1"/>
    <col min="9" max="9" width="12.6640625" style="2" customWidth="1"/>
    <col min="10" max="10" width="12.109375" style="2" customWidth="1"/>
    <col min="11" max="11" width="37.33203125" style="2" customWidth="1"/>
    <col min="12" max="240" width="11.44140625" style="2"/>
    <col min="241" max="241" width="17.6640625" style="2" bestFit="1" customWidth="1"/>
    <col min="242" max="242" width="76.6640625" style="2" customWidth="1"/>
    <col min="243" max="244" width="11.44140625" style="2"/>
    <col min="245" max="245" width="13.6640625" style="2" bestFit="1" customWidth="1"/>
    <col min="246" max="251" width="11.44140625" style="2"/>
    <col min="252" max="252" width="12.6640625" style="2" bestFit="1" customWidth="1"/>
    <col min="253" max="254" width="11.44140625" style="2"/>
    <col min="255" max="255" width="12.6640625" style="2" bestFit="1" customWidth="1"/>
    <col min="256" max="257" width="13.6640625" style="2" bestFit="1" customWidth="1"/>
    <col min="258" max="258" width="16.88671875" style="2" customWidth="1"/>
    <col min="259" max="261" width="13.6640625" style="2" bestFit="1" customWidth="1"/>
    <col min="262" max="262" width="12.6640625" style="2" bestFit="1" customWidth="1"/>
    <col min="263" max="263" width="11.6640625" style="2" bestFit="1" customWidth="1"/>
    <col min="264" max="264" width="14.109375" style="2" bestFit="1" customWidth="1"/>
    <col min="265" max="496" width="11.44140625" style="2"/>
    <col min="497" max="497" width="17.6640625" style="2" bestFit="1" customWidth="1"/>
    <col min="498" max="498" width="76.6640625" style="2" customWidth="1"/>
    <col min="499" max="500" width="11.44140625" style="2"/>
    <col min="501" max="501" width="13.6640625" style="2" bestFit="1" customWidth="1"/>
    <col min="502" max="507" width="11.44140625" style="2"/>
    <col min="508" max="508" width="12.6640625" style="2" bestFit="1" customWidth="1"/>
    <col min="509" max="510" width="11.44140625" style="2"/>
    <col min="511" max="511" width="12.6640625" style="2" bestFit="1" customWidth="1"/>
    <col min="512" max="513" width="13.6640625" style="2" bestFit="1" customWidth="1"/>
    <col min="514" max="514" width="16.88671875" style="2" customWidth="1"/>
    <col min="515" max="517" width="13.6640625" style="2" bestFit="1" customWidth="1"/>
    <col min="518" max="518" width="12.6640625" style="2" bestFit="1" customWidth="1"/>
    <col min="519" max="519" width="11.6640625" style="2" bestFit="1" customWidth="1"/>
    <col min="520" max="520" width="14.109375" style="2" bestFit="1" customWidth="1"/>
    <col min="521" max="752" width="11.44140625" style="2"/>
    <col min="753" max="753" width="17.6640625" style="2" bestFit="1" customWidth="1"/>
    <col min="754" max="754" width="76.6640625" style="2" customWidth="1"/>
    <col min="755" max="756" width="11.44140625" style="2"/>
    <col min="757" max="757" width="13.6640625" style="2" bestFit="1" customWidth="1"/>
    <col min="758" max="763" width="11.44140625" style="2"/>
    <col min="764" max="764" width="12.6640625" style="2" bestFit="1" customWidth="1"/>
    <col min="765" max="766" width="11.44140625" style="2"/>
    <col min="767" max="767" width="12.6640625" style="2" bestFit="1" customWidth="1"/>
    <col min="768" max="769" width="13.6640625" style="2" bestFit="1" customWidth="1"/>
    <col min="770" max="770" width="16.88671875" style="2" customWidth="1"/>
    <col min="771" max="773" width="13.6640625" style="2" bestFit="1" customWidth="1"/>
    <col min="774" max="774" width="12.6640625" style="2" bestFit="1" customWidth="1"/>
    <col min="775" max="775" width="11.6640625" style="2" bestFit="1" customWidth="1"/>
    <col min="776" max="776" width="14.109375" style="2" bestFit="1" customWidth="1"/>
    <col min="777" max="1008" width="11.44140625" style="2"/>
    <col min="1009" max="1009" width="17.6640625" style="2" bestFit="1" customWidth="1"/>
    <col min="1010" max="1010" width="76.6640625" style="2" customWidth="1"/>
    <col min="1011" max="1012" width="11.44140625" style="2"/>
    <col min="1013" max="1013" width="13.6640625" style="2" bestFit="1" customWidth="1"/>
    <col min="1014" max="1019" width="11.44140625" style="2"/>
    <col min="1020" max="1020" width="12.6640625" style="2" bestFit="1" customWidth="1"/>
    <col min="1021" max="1022" width="11.44140625" style="2"/>
    <col min="1023" max="1023" width="12.6640625" style="2" bestFit="1" customWidth="1"/>
    <col min="1024" max="1025" width="13.6640625" style="2" bestFit="1" customWidth="1"/>
    <col min="1026" max="1026" width="16.88671875" style="2" customWidth="1"/>
    <col min="1027" max="1029" width="13.6640625" style="2" bestFit="1" customWidth="1"/>
    <col min="1030" max="1030" width="12.6640625" style="2" bestFit="1" customWidth="1"/>
    <col min="1031" max="1031" width="11.6640625" style="2" bestFit="1" customWidth="1"/>
    <col min="1032" max="1032" width="14.109375" style="2" bestFit="1" customWidth="1"/>
    <col min="1033" max="1264" width="11.44140625" style="2"/>
    <col min="1265" max="1265" width="17.6640625" style="2" bestFit="1" customWidth="1"/>
    <col min="1266" max="1266" width="76.6640625" style="2" customWidth="1"/>
    <col min="1267" max="1268" width="11.44140625" style="2"/>
    <col min="1269" max="1269" width="13.6640625" style="2" bestFit="1" customWidth="1"/>
    <col min="1270" max="1275" width="11.44140625" style="2"/>
    <col min="1276" max="1276" width="12.6640625" style="2" bestFit="1" customWidth="1"/>
    <col min="1277" max="1278" width="11.44140625" style="2"/>
    <col min="1279" max="1279" width="12.6640625" style="2" bestFit="1" customWidth="1"/>
    <col min="1280" max="1281" width="13.6640625" style="2" bestFit="1" customWidth="1"/>
    <col min="1282" max="1282" width="16.88671875" style="2" customWidth="1"/>
    <col min="1283" max="1285" width="13.6640625" style="2" bestFit="1" customWidth="1"/>
    <col min="1286" max="1286" width="12.6640625" style="2" bestFit="1" customWidth="1"/>
    <col min="1287" max="1287" width="11.6640625" style="2" bestFit="1" customWidth="1"/>
    <col min="1288" max="1288" width="14.109375" style="2" bestFit="1" customWidth="1"/>
    <col min="1289" max="1520" width="11.44140625" style="2"/>
    <col min="1521" max="1521" width="17.6640625" style="2" bestFit="1" customWidth="1"/>
    <col min="1522" max="1522" width="76.6640625" style="2" customWidth="1"/>
    <col min="1523" max="1524" width="11.44140625" style="2"/>
    <col min="1525" max="1525" width="13.6640625" style="2" bestFit="1" customWidth="1"/>
    <col min="1526" max="1531" width="11.44140625" style="2"/>
    <col min="1532" max="1532" width="12.6640625" style="2" bestFit="1" customWidth="1"/>
    <col min="1533" max="1534" width="11.44140625" style="2"/>
    <col min="1535" max="1535" width="12.6640625" style="2" bestFit="1" customWidth="1"/>
    <col min="1536" max="1537" width="13.6640625" style="2" bestFit="1" customWidth="1"/>
    <col min="1538" max="1538" width="16.88671875" style="2" customWidth="1"/>
    <col min="1539" max="1541" width="13.6640625" style="2" bestFit="1" customWidth="1"/>
    <col min="1542" max="1542" width="12.6640625" style="2" bestFit="1" customWidth="1"/>
    <col min="1543" max="1543" width="11.6640625" style="2" bestFit="1" customWidth="1"/>
    <col min="1544" max="1544" width="14.109375" style="2" bestFit="1" customWidth="1"/>
    <col min="1545" max="1776" width="11.44140625" style="2"/>
    <col min="1777" max="1777" width="17.6640625" style="2" bestFit="1" customWidth="1"/>
    <col min="1778" max="1778" width="76.6640625" style="2" customWidth="1"/>
    <col min="1779" max="1780" width="11.44140625" style="2"/>
    <col min="1781" max="1781" width="13.6640625" style="2" bestFit="1" customWidth="1"/>
    <col min="1782" max="1787" width="11.44140625" style="2"/>
    <col min="1788" max="1788" width="12.6640625" style="2" bestFit="1" customWidth="1"/>
    <col min="1789" max="1790" width="11.44140625" style="2"/>
    <col min="1791" max="1791" width="12.6640625" style="2" bestFit="1" customWidth="1"/>
    <col min="1792" max="1793" width="13.6640625" style="2" bestFit="1" customWidth="1"/>
    <col min="1794" max="1794" width="16.88671875" style="2" customWidth="1"/>
    <col min="1795" max="1797" width="13.6640625" style="2" bestFit="1" customWidth="1"/>
    <col min="1798" max="1798" width="12.6640625" style="2" bestFit="1" customWidth="1"/>
    <col min="1799" max="1799" width="11.6640625" style="2" bestFit="1" customWidth="1"/>
    <col min="1800" max="1800" width="14.109375" style="2" bestFit="1" customWidth="1"/>
    <col min="1801" max="2032" width="11.44140625" style="2"/>
    <col min="2033" max="2033" width="17.6640625" style="2" bestFit="1" customWidth="1"/>
    <col min="2034" max="2034" width="76.6640625" style="2" customWidth="1"/>
    <col min="2035" max="2036" width="11.44140625" style="2"/>
    <col min="2037" max="2037" width="13.6640625" style="2" bestFit="1" customWidth="1"/>
    <col min="2038" max="2043" width="11.44140625" style="2"/>
    <col min="2044" max="2044" width="12.6640625" style="2" bestFit="1" customWidth="1"/>
    <col min="2045" max="2046" width="11.44140625" style="2"/>
    <col min="2047" max="2047" width="12.6640625" style="2" bestFit="1" customWidth="1"/>
    <col min="2048" max="2049" width="13.6640625" style="2" bestFit="1" customWidth="1"/>
    <col min="2050" max="2050" width="16.88671875" style="2" customWidth="1"/>
    <col min="2051" max="2053" width="13.6640625" style="2" bestFit="1" customWidth="1"/>
    <col min="2054" max="2054" width="12.6640625" style="2" bestFit="1" customWidth="1"/>
    <col min="2055" max="2055" width="11.6640625" style="2" bestFit="1" customWidth="1"/>
    <col min="2056" max="2056" width="14.109375" style="2" bestFit="1" customWidth="1"/>
    <col min="2057" max="2288" width="11.44140625" style="2"/>
    <col min="2289" max="2289" width="17.6640625" style="2" bestFit="1" customWidth="1"/>
    <col min="2290" max="2290" width="76.6640625" style="2" customWidth="1"/>
    <col min="2291" max="2292" width="11.44140625" style="2"/>
    <col min="2293" max="2293" width="13.6640625" style="2" bestFit="1" customWidth="1"/>
    <col min="2294" max="2299" width="11.44140625" style="2"/>
    <col min="2300" max="2300" width="12.6640625" style="2" bestFit="1" customWidth="1"/>
    <col min="2301" max="2302" width="11.44140625" style="2"/>
    <col min="2303" max="2303" width="12.6640625" style="2" bestFit="1" customWidth="1"/>
    <col min="2304" max="2305" width="13.6640625" style="2" bestFit="1" customWidth="1"/>
    <col min="2306" max="2306" width="16.88671875" style="2" customWidth="1"/>
    <col min="2307" max="2309" width="13.6640625" style="2" bestFit="1" customWidth="1"/>
    <col min="2310" max="2310" width="12.6640625" style="2" bestFit="1" customWidth="1"/>
    <col min="2311" max="2311" width="11.6640625" style="2" bestFit="1" customWidth="1"/>
    <col min="2312" max="2312" width="14.109375" style="2" bestFit="1" customWidth="1"/>
    <col min="2313" max="2544" width="11.44140625" style="2"/>
    <col min="2545" max="2545" width="17.6640625" style="2" bestFit="1" customWidth="1"/>
    <col min="2546" max="2546" width="76.6640625" style="2" customWidth="1"/>
    <col min="2547" max="2548" width="11.44140625" style="2"/>
    <col min="2549" max="2549" width="13.6640625" style="2" bestFit="1" customWidth="1"/>
    <col min="2550" max="2555" width="11.44140625" style="2"/>
    <col min="2556" max="2556" width="12.6640625" style="2" bestFit="1" customWidth="1"/>
    <col min="2557" max="2558" width="11.44140625" style="2"/>
    <col min="2559" max="2559" width="12.6640625" style="2" bestFit="1" customWidth="1"/>
    <col min="2560" max="2561" width="13.6640625" style="2" bestFit="1" customWidth="1"/>
    <col min="2562" max="2562" width="16.88671875" style="2" customWidth="1"/>
    <col min="2563" max="2565" width="13.6640625" style="2" bestFit="1" customWidth="1"/>
    <col min="2566" max="2566" width="12.6640625" style="2" bestFit="1" customWidth="1"/>
    <col min="2567" max="2567" width="11.6640625" style="2" bestFit="1" customWidth="1"/>
    <col min="2568" max="2568" width="14.109375" style="2" bestFit="1" customWidth="1"/>
    <col min="2569" max="2800" width="11.44140625" style="2"/>
    <col min="2801" max="2801" width="17.6640625" style="2" bestFit="1" customWidth="1"/>
    <col min="2802" max="2802" width="76.6640625" style="2" customWidth="1"/>
    <col min="2803" max="2804" width="11.44140625" style="2"/>
    <col min="2805" max="2805" width="13.6640625" style="2" bestFit="1" customWidth="1"/>
    <col min="2806" max="2811" width="11.44140625" style="2"/>
    <col min="2812" max="2812" width="12.6640625" style="2" bestFit="1" customWidth="1"/>
    <col min="2813" max="2814" width="11.44140625" style="2"/>
    <col min="2815" max="2815" width="12.6640625" style="2" bestFit="1" customWidth="1"/>
    <col min="2816" max="2817" width="13.6640625" style="2" bestFit="1" customWidth="1"/>
    <col min="2818" max="2818" width="16.88671875" style="2" customWidth="1"/>
    <col min="2819" max="2821" width="13.6640625" style="2" bestFit="1" customWidth="1"/>
    <col min="2822" max="2822" width="12.6640625" style="2" bestFit="1" customWidth="1"/>
    <col min="2823" max="2823" width="11.6640625" style="2" bestFit="1" customWidth="1"/>
    <col min="2824" max="2824" width="14.109375" style="2" bestFit="1" customWidth="1"/>
    <col min="2825" max="3056" width="11.44140625" style="2"/>
    <col min="3057" max="3057" width="17.6640625" style="2" bestFit="1" customWidth="1"/>
    <col min="3058" max="3058" width="76.6640625" style="2" customWidth="1"/>
    <col min="3059" max="3060" width="11.44140625" style="2"/>
    <col min="3061" max="3061" width="13.6640625" style="2" bestFit="1" customWidth="1"/>
    <col min="3062" max="3067" width="11.44140625" style="2"/>
    <col min="3068" max="3068" width="12.6640625" style="2" bestFit="1" customWidth="1"/>
    <col min="3069" max="3070" width="11.44140625" style="2"/>
    <col min="3071" max="3071" width="12.6640625" style="2" bestFit="1" customWidth="1"/>
    <col min="3072" max="3073" width="13.6640625" style="2" bestFit="1" customWidth="1"/>
    <col min="3074" max="3074" width="16.88671875" style="2" customWidth="1"/>
    <col min="3075" max="3077" width="13.6640625" style="2" bestFit="1" customWidth="1"/>
    <col min="3078" max="3078" width="12.6640625" style="2" bestFit="1" customWidth="1"/>
    <col min="3079" max="3079" width="11.6640625" style="2" bestFit="1" customWidth="1"/>
    <col min="3080" max="3080" width="14.109375" style="2" bestFit="1" customWidth="1"/>
    <col min="3081" max="3312" width="11.44140625" style="2"/>
    <col min="3313" max="3313" width="17.6640625" style="2" bestFit="1" customWidth="1"/>
    <col min="3314" max="3314" width="76.6640625" style="2" customWidth="1"/>
    <col min="3315" max="3316" width="11.44140625" style="2"/>
    <col min="3317" max="3317" width="13.6640625" style="2" bestFit="1" customWidth="1"/>
    <col min="3318" max="3323" width="11.44140625" style="2"/>
    <col min="3324" max="3324" width="12.6640625" style="2" bestFit="1" customWidth="1"/>
    <col min="3325" max="3326" width="11.44140625" style="2"/>
    <col min="3327" max="3327" width="12.6640625" style="2" bestFit="1" customWidth="1"/>
    <col min="3328" max="3329" width="13.6640625" style="2" bestFit="1" customWidth="1"/>
    <col min="3330" max="3330" width="16.88671875" style="2" customWidth="1"/>
    <col min="3331" max="3333" width="13.6640625" style="2" bestFit="1" customWidth="1"/>
    <col min="3334" max="3334" width="12.6640625" style="2" bestFit="1" customWidth="1"/>
    <col min="3335" max="3335" width="11.6640625" style="2" bestFit="1" customWidth="1"/>
    <col min="3336" max="3336" width="14.109375" style="2" bestFit="1" customWidth="1"/>
    <col min="3337" max="3568" width="11.44140625" style="2"/>
    <col min="3569" max="3569" width="17.6640625" style="2" bestFit="1" customWidth="1"/>
    <col min="3570" max="3570" width="76.6640625" style="2" customWidth="1"/>
    <col min="3571" max="3572" width="11.44140625" style="2"/>
    <col min="3573" max="3573" width="13.6640625" style="2" bestFit="1" customWidth="1"/>
    <col min="3574" max="3579" width="11.44140625" style="2"/>
    <col min="3580" max="3580" width="12.6640625" style="2" bestFit="1" customWidth="1"/>
    <col min="3581" max="3582" width="11.44140625" style="2"/>
    <col min="3583" max="3583" width="12.6640625" style="2" bestFit="1" customWidth="1"/>
    <col min="3584" max="3585" width="13.6640625" style="2" bestFit="1" customWidth="1"/>
    <col min="3586" max="3586" width="16.88671875" style="2" customWidth="1"/>
    <col min="3587" max="3589" width="13.6640625" style="2" bestFit="1" customWidth="1"/>
    <col min="3590" max="3590" width="12.6640625" style="2" bestFit="1" customWidth="1"/>
    <col min="3591" max="3591" width="11.6640625" style="2" bestFit="1" customWidth="1"/>
    <col min="3592" max="3592" width="14.109375" style="2" bestFit="1" customWidth="1"/>
    <col min="3593" max="3824" width="11.44140625" style="2"/>
    <col min="3825" max="3825" width="17.6640625" style="2" bestFit="1" customWidth="1"/>
    <col min="3826" max="3826" width="76.6640625" style="2" customWidth="1"/>
    <col min="3827" max="3828" width="11.44140625" style="2"/>
    <col min="3829" max="3829" width="13.6640625" style="2" bestFit="1" customWidth="1"/>
    <col min="3830" max="3835" width="11.44140625" style="2"/>
    <col min="3836" max="3836" width="12.6640625" style="2" bestFit="1" customWidth="1"/>
    <col min="3837" max="3838" width="11.44140625" style="2"/>
    <col min="3839" max="3839" width="12.6640625" style="2" bestFit="1" customWidth="1"/>
    <col min="3840" max="3841" width="13.6640625" style="2" bestFit="1" customWidth="1"/>
    <col min="3842" max="3842" width="16.88671875" style="2" customWidth="1"/>
    <col min="3843" max="3845" width="13.6640625" style="2" bestFit="1" customWidth="1"/>
    <col min="3846" max="3846" width="12.6640625" style="2" bestFit="1" customWidth="1"/>
    <col min="3847" max="3847" width="11.6640625" style="2" bestFit="1" customWidth="1"/>
    <col min="3848" max="3848" width="14.109375" style="2" bestFit="1" customWidth="1"/>
    <col min="3849" max="4080" width="11.44140625" style="2"/>
    <col min="4081" max="4081" width="17.6640625" style="2" bestFit="1" customWidth="1"/>
    <col min="4082" max="4082" width="76.6640625" style="2" customWidth="1"/>
    <col min="4083" max="4084" width="11.44140625" style="2"/>
    <col min="4085" max="4085" width="13.6640625" style="2" bestFit="1" customWidth="1"/>
    <col min="4086" max="4091" width="11.44140625" style="2"/>
    <col min="4092" max="4092" width="12.6640625" style="2" bestFit="1" customWidth="1"/>
    <col min="4093" max="4094" width="11.44140625" style="2"/>
    <col min="4095" max="4095" width="12.6640625" style="2" bestFit="1" customWidth="1"/>
    <col min="4096" max="4097" width="13.6640625" style="2" bestFit="1" customWidth="1"/>
    <col min="4098" max="4098" width="16.88671875" style="2" customWidth="1"/>
    <col min="4099" max="4101" width="13.6640625" style="2" bestFit="1" customWidth="1"/>
    <col min="4102" max="4102" width="12.6640625" style="2" bestFit="1" customWidth="1"/>
    <col min="4103" max="4103" width="11.6640625" style="2" bestFit="1" customWidth="1"/>
    <col min="4104" max="4104" width="14.109375" style="2" bestFit="1" customWidth="1"/>
    <col min="4105" max="4336" width="11.44140625" style="2"/>
    <col min="4337" max="4337" width="17.6640625" style="2" bestFit="1" customWidth="1"/>
    <col min="4338" max="4338" width="76.6640625" style="2" customWidth="1"/>
    <col min="4339" max="4340" width="11.44140625" style="2"/>
    <col min="4341" max="4341" width="13.6640625" style="2" bestFit="1" customWidth="1"/>
    <col min="4342" max="4347" width="11.44140625" style="2"/>
    <col min="4348" max="4348" width="12.6640625" style="2" bestFit="1" customWidth="1"/>
    <col min="4349" max="4350" width="11.44140625" style="2"/>
    <col min="4351" max="4351" width="12.6640625" style="2" bestFit="1" customWidth="1"/>
    <col min="4352" max="4353" width="13.6640625" style="2" bestFit="1" customWidth="1"/>
    <col min="4354" max="4354" width="16.88671875" style="2" customWidth="1"/>
    <col min="4355" max="4357" width="13.6640625" style="2" bestFit="1" customWidth="1"/>
    <col min="4358" max="4358" width="12.6640625" style="2" bestFit="1" customWidth="1"/>
    <col min="4359" max="4359" width="11.6640625" style="2" bestFit="1" customWidth="1"/>
    <col min="4360" max="4360" width="14.109375" style="2" bestFit="1" customWidth="1"/>
    <col min="4361" max="4592" width="11.44140625" style="2"/>
    <col min="4593" max="4593" width="17.6640625" style="2" bestFit="1" customWidth="1"/>
    <col min="4594" max="4594" width="76.6640625" style="2" customWidth="1"/>
    <col min="4595" max="4596" width="11.44140625" style="2"/>
    <col min="4597" max="4597" width="13.6640625" style="2" bestFit="1" customWidth="1"/>
    <col min="4598" max="4603" width="11.44140625" style="2"/>
    <col min="4604" max="4604" width="12.6640625" style="2" bestFit="1" customWidth="1"/>
    <col min="4605" max="4606" width="11.44140625" style="2"/>
    <col min="4607" max="4607" width="12.6640625" style="2" bestFit="1" customWidth="1"/>
    <col min="4608" max="4609" width="13.6640625" style="2" bestFit="1" customWidth="1"/>
    <col min="4610" max="4610" width="16.88671875" style="2" customWidth="1"/>
    <col min="4611" max="4613" width="13.6640625" style="2" bestFit="1" customWidth="1"/>
    <col min="4614" max="4614" width="12.6640625" style="2" bestFit="1" customWidth="1"/>
    <col min="4615" max="4615" width="11.6640625" style="2" bestFit="1" customWidth="1"/>
    <col min="4616" max="4616" width="14.109375" style="2" bestFit="1" customWidth="1"/>
    <col min="4617" max="4848" width="11.44140625" style="2"/>
    <col min="4849" max="4849" width="17.6640625" style="2" bestFit="1" customWidth="1"/>
    <col min="4850" max="4850" width="76.6640625" style="2" customWidth="1"/>
    <col min="4851" max="4852" width="11.44140625" style="2"/>
    <col min="4853" max="4853" width="13.6640625" style="2" bestFit="1" customWidth="1"/>
    <col min="4854" max="4859" width="11.44140625" style="2"/>
    <col min="4860" max="4860" width="12.6640625" style="2" bestFit="1" customWidth="1"/>
    <col min="4861" max="4862" width="11.44140625" style="2"/>
    <col min="4863" max="4863" width="12.6640625" style="2" bestFit="1" customWidth="1"/>
    <col min="4864" max="4865" width="13.6640625" style="2" bestFit="1" customWidth="1"/>
    <col min="4866" max="4866" width="16.88671875" style="2" customWidth="1"/>
    <col min="4867" max="4869" width="13.6640625" style="2" bestFit="1" customWidth="1"/>
    <col min="4870" max="4870" width="12.6640625" style="2" bestFit="1" customWidth="1"/>
    <col min="4871" max="4871" width="11.6640625" style="2" bestFit="1" customWidth="1"/>
    <col min="4872" max="4872" width="14.109375" style="2" bestFit="1" customWidth="1"/>
    <col min="4873" max="5104" width="11.44140625" style="2"/>
    <col min="5105" max="5105" width="17.6640625" style="2" bestFit="1" customWidth="1"/>
    <col min="5106" max="5106" width="76.6640625" style="2" customWidth="1"/>
    <col min="5107" max="5108" width="11.44140625" style="2"/>
    <col min="5109" max="5109" width="13.6640625" style="2" bestFit="1" customWidth="1"/>
    <col min="5110" max="5115" width="11.44140625" style="2"/>
    <col min="5116" max="5116" width="12.6640625" style="2" bestFit="1" customWidth="1"/>
    <col min="5117" max="5118" width="11.44140625" style="2"/>
    <col min="5119" max="5119" width="12.6640625" style="2" bestFit="1" customWidth="1"/>
    <col min="5120" max="5121" width="13.6640625" style="2" bestFit="1" customWidth="1"/>
    <col min="5122" max="5122" width="16.88671875" style="2" customWidth="1"/>
    <col min="5123" max="5125" width="13.6640625" style="2" bestFit="1" customWidth="1"/>
    <col min="5126" max="5126" width="12.6640625" style="2" bestFit="1" customWidth="1"/>
    <col min="5127" max="5127" width="11.6640625" style="2" bestFit="1" customWidth="1"/>
    <col min="5128" max="5128" width="14.109375" style="2" bestFit="1" customWidth="1"/>
    <col min="5129" max="5360" width="11.44140625" style="2"/>
    <col min="5361" max="5361" width="17.6640625" style="2" bestFit="1" customWidth="1"/>
    <col min="5362" max="5362" width="76.6640625" style="2" customWidth="1"/>
    <col min="5363" max="5364" width="11.44140625" style="2"/>
    <col min="5365" max="5365" width="13.6640625" style="2" bestFit="1" customWidth="1"/>
    <col min="5366" max="5371" width="11.44140625" style="2"/>
    <col min="5372" max="5372" width="12.6640625" style="2" bestFit="1" customWidth="1"/>
    <col min="5373" max="5374" width="11.44140625" style="2"/>
    <col min="5375" max="5375" width="12.6640625" style="2" bestFit="1" customWidth="1"/>
    <col min="5376" max="5377" width="13.6640625" style="2" bestFit="1" customWidth="1"/>
    <col min="5378" max="5378" width="16.88671875" style="2" customWidth="1"/>
    <col min="5379" max="5381" width="13.6640625" style="2" bestFit="1" customWidth="1"/>
    <col min="5382" max="5382" width="12.6640625" style="2" bestFit="1" customWidth="1"/>
    <col min="5383" max="5383" width="11.6640625" style="2" bestFit="1" customWidth="1"/>
    <col min="5384" max="5384" width="14.109375" style="2" bestFit="1" customWidth="1"/>
    <col min="5385" max="5616" width="11.44140625" style="2"/>
    <col min="5617" max="5617" width="17.6640625" style="2" bestFit="1" customWidth="1"/>
    <col min="5618" max="5618" width="76.6640625" style="2" customWidth="1"/>
    <col min="5619" max="5620" width="11.44140625" style="2"/>
    <col min="5621" max="5621" width="13.6640625" style="2" bestFit="1" customWidth="1"/>
    <col min="5622" max="5627" width="11.44140625" style="2"/>
    <col min="5628" max="5628" width="12.6640625" style="2" bestFit="1" customWidth="1"/>
    <col min="5629" max="5630" width="11.44140625" style="2"/>
    <col min="5631" max="5631" width="12.6640625" style="2" bestFit="1" customWidth="1"/>
    <col min="5632" max="5633" width="13.6640625" style="2" bestFit="1" customWidth="1"/>
    <col min="5634" max="5634" width="16.88671875" style="2" customWidth="1"/>
    <col min="5635" max="5637" width="13.6640625" style="2" bestFit="1" customWidth="1"/>
    <col min="5638" max="5638" width="12.6640625" style="2" bestFit="1" customWidth="1"/>
    <col min="5639" max="5639" width="11.6640625" style="2" bestFit="1" customWidth="1"/>
    <col min="5640" max="5640" width="14.109375" style="2" bestFit="1" customWidth="1"/>
    <col min="5641" max="5872" width="11.44140625" style="2"/>
    <col min="5873" max="5873" width="17.6640625" style="2" bestFit="1" customWidth="1"/>
    <col min="5874" max="5874" width="76.6640625" style="2" customWidth="1"/>
    <col min="5875" max="5876" width="11.44140625" style="2"/>
    <col min="5877" max="5877" width="13.6640625" style="2" bestFit="1" customWidth="1"/>
    <col min="5878" max="5883" width="11.44140625" style="2"/>
    <col min="5884" max="5884" width="12.6640625" style="2" bestFit="1" customWidth="1"/>
    <col min="5885" max="5886" width="11.44140625" style="2"/>
    <col min="5887" max="5887" width="12.6640625" style="2" bestFit="1" customWidth="1"/>
    <col min="5888" max="5889" width="13.6640625" style="2" bestFit="1" customWidth="1"/>
    <col min="5890" max="5890" width="16.88671875" style="2" customWidth="1"/>
    <col min="5891" max="5893" width="13.6640625" style="2" bestFit="1" customWidth="1"/>
    <col min="5894" max="5894" width="12.6640625" style="2" bestFit="1" customWidth="1"/>
    <col min="5895" max="5895" width="11.6640625" style="2" bestFit="1" customWidth="1"/>
    <col min="5896" max="5896" width="14.109375" style="2" bestFit="1" customWidth="1"/>
    <col min="5897" max="6128" width="11.44140625" style="2"/>
    <col min="6129" max="6129" width="17.6640625" style="2" bestFit="1" customWidth="1"/>
    <col min="6130" max="6130" width="76.6640625" style="2" customWidth="1"/>
    <col min="6131" max="6132" width="11.44140625" style="2"/>
    <col min="6133" max="6133" width="13.6640625" style="2" bestFit="1" customWidth="1"/>
    <col min="6134" max="6139" width="11.44140625" style="2"/>
    <col min="6140" max="6140" width="12.6640625" style="2" bestFit="1" customWidth="1"/>
    <col min="6141" max="6142" width="11.44140625" style="2"/>
    <col min="6143" max="6143" width="12.6640625" style="2" bestFit="1" customWidth="1"/>
    <col min="6144" max="6145" width="13.6640625" style="2" bestFit="1" customWidth="1"/>
    <col min="6146" max="6146" width="16.88671875" style="2" customWidth="1"/>
    <col min="6147" max="6149" width="13.6640625" style="2" bestFit="1" customWidth="1"/>
    <col min="6150" max="6150" width="12.6640625" style="2" bestFit="1" customWidth="1"/>
    <col min="6151" max="6151" width="11.6640625" style="2" bestFit="1" customWidth="1"/>
    <col min="6152" max="6152" width="14.109375" style="2" bestFit="1" customWidth="1"/>
    <col min="6153" max="6384" width="11.44140625" style="2"/>
    <col min="6385" max="6385" width="17.6640625" style="2" bestFit="1" customWidth="1"/>
    <col min="6386" max="6386" width="76.6640625" style="2" customWidth="1"/>
    <col min="6387" max="6388" width="11.44140625" style="2"/>
    <col min="6389" max="6389" width="13.6640625" style="2" bestFit="1" customWidth="1"/>
    <col min="6390" max="6395" width="11.44140625" style="2"/>
    <col min="6396" max="6396" width="12.6640625" style="2" bestFit="1" customWidth="1"/>
    <col min="6397" max="6398" width="11.44140625" style="2"/>
    <col min="6399" max="6399" width="12.6640625" style="2" bestFit="1" customWidth="1"/>
    <col min="6400" max="6401" width="13.6640625" style="2" bestFit="1" customWidth="1"/>
    <col min="6402" max="6402" width="16.88671875" style="2" customWidth="1"/>
    <col min="6403" max="6405" width="13.6640625" style="2" bestFit="1" customWidth="1"/>
    <col min="6406" max="6406" width="12.6640625" style="2" bestFit="1" customWidth="1"/>
    <col min="6407" max="6407" width="11.6640625" style="2" bestFit="1" customWidth="1"/>
    <col min="6408" max="6408" width="14.109375" style="2" bestFit="1" customWidth="1"/>
    <col min="6409" max="6640" width="11.44140625" style="2"/>
    <col min="6641" max="6641" width="17.6640625" style="2" bestFit="1" customWidth="1"/>
    <col min="6642" max="6642" width="76.6640625" style="2" customWidth="1"/>
    <col min="6643" max="6644" width="11.44140625" style="2"/>
    <col min="6645" max="6645" width="13.6640625" style="2" bestFit="1" customWidth="1"/>
    <col min="6646" max="6651" width="11.44140625" style="2"/>
    <col min="6652" max="6652" width="12.6640625" style="2" bestFit="1" customWidth="1"/>
    <col min="6653" max="6654" width="11.44140625" style="2"/>
    <col min="6655" max="6655" width="12.6640625" style="2" bestFit="1" customWidth="1"/>
    <col min="6656" max="6657" width="13.6640625" style="2" bestFit="1" customWidth="1"/>
    <col min="6658" max="6658" width="16.88671875" style="2" customWidth="1"/>
    <col min="6659" max="6661" width="13.6640625" style="2" bestFit="1" customWidth="1"/>
    <col min="6662" max="6662" width="12.6640625" style="2" bestFit="1" customWidth="1"/>
    <col min="6663" max="6663" width="11.6640625" style="2" bestFit="1" customWidth="1"/>
    <col min="6664" max="6664" width="14.109375" style="2" bestFit="1" customWidth="1"/>
    <col min="6665" max="6896" width="11.44140625" style="2"/>
    <col min="6897" max="6897" width="17.6640625" style="2" bestFit="1" customWidth="1"/>
    <col min="6898" max="6898" width="76.6640625" style="2" customWidth="1"/>
    <col min="6899" max="6900" width="11.44140625" style="2"/>
    <col min="6901" max="6901" width="13.6640625" style="2" bestFit="1" customWidth="1"/>
    <col min="6902" max="6907" width="11.44140625" style="2"/>
    <col min="6908" max="6908" width="12.6640625" style="2" bestFit="1" customWidth="1"/>
    <col min="6909" max="6910" width="11.44140625" style="2"/>
    <col min="6911" max="6911" width="12.6640625" style="2" bestFit="1" customWidth="1"/>
    <col min="6912" max="6913" width="13.6640625" style="2" bestFit="1" customWidth="1"/>
    <col min="6914" max="6914" width="16.88671875" style="2" customWidth="1"/>
    <col min="6915" max="6917" width="13.6640625" style="2" bestFit="1" customWidth="1"/>
    <col min="6918" max="6918" width="12.6640625" style="2" bestFit="1" customWidth="1"/>
    <col min="6919" max="6919" width="11.6640625" style="2" bestFit="1" customWidth="1"/>
    <col min="6920" max="6920" width="14.109375" style="2" bestFit="1" customWidth="1"/>
    <col min="6921" max="7152" width="11.44140625" style="2"/>
    <col min="7153" max="7153" width="17.6640625" style="2" bestFit="1" customWidth="1"/>
    <col min="7154" max="7154" width="76.6640625" style="2" customWidth="1"/>
    <col min="7155" max="7156" width="11.44140625" style="2"/>
    <col min="7157" max="7157" width="13.6640625" style="2" bestFit="1" customWidth="1"/>
    <col min="7158" max="7163" width="11.44140625" style="2"/>
    <col min="7164" max="7164" width="12.6640625" style="2" bestFit="1" customWidth="1"/>
    <col min="7165" max="7166" width="11.44140625" style="2"/>
    <col min="7167" max="7167" width="12.6640625" style="2" bestFit="1" customWidth="1"/>
    <col min="7168" max="7169" width="13.6640625" style="2" bestFit="1" customWidth="1"/>
    <col min="7170" max="7170" width="16.88671875" style="2" customWidth="1"/>
    <col min="7171" max="7173" width="13.6640625" style="2" bestFit="1" customWidth="1"/>
    <col min="7174" max="7174" width="12.6640625" style="2" bestFit="1" customWidth="1"/>
    <col min="7175" max="7175" width="11.6640625" style="2" bestFit="1" customWidth="1"/>
    <col min="7176" max="7176" width="14.109375" style="2" bestFit="1" customWidth="1"/>
    <col min="7177" max="7408" width="11.44140625" style="2"/>
    <col min="7409" max="7409" width="17.6640625" style="2" bestFit="1" customWidth="1"/>
    <col min="7410" max="7410" width="76.6640625" style="2" customWidth="1"/>
    <col min="7411" max="7412" width="11.44140625" style="2"/>
    <col min="7413" max="7413" width="13.6640625" style="2" bestFit="1" customWidth="1"/>
    <col min="7414" max="7419" width="11.44140625" style="2"/>
    <col min="7420" max="7420" width="12.6640625" style="2" bestFit="1" customWidth="1"/>
    <col min="7421" max="7422" width="11.44140625" style="2"/>
    <col min="7423" max="7423" width="12.6640625" style="2" bestFit="1" customWidth="1"/>
    <col min="7424" max="7425" width="13.6640625" style="2" bestFit="1" customWidth="1"/>
    <col min="7426" max="7426" width="16.88671875" style="2" customWidth="1"/>
    <col min="7427" max="7429" width="13.6640625" style="2" bestFit="1" customWidth="1"/>
    <col min="7430" max="7430" width="12.6640625" style="2" bestFit="1" customWidth="1"/>
    <col min="7431" max="7431" width="11.6640625" style="2" bestFit="1" customWidth="1"/>
    <col min="7432" max="7432" width="14.109375" style="2" bestFit="1" customWidth="1"/>
    <col min="7433" max="7664" width="11.44140625" style="2"/>
    <col min="7665" max="7665" width="17.6640625" style="2" bestFit="1" customWidth="1"/>
    <col min="7666" max="7666" width="76.6640625" style="2" customWidth="1"/>
    <col min="7667" max="7668" width="11.44140625" style="2"/>
    <col min="7669" max="7669" width="13.6640625" style="2" bestFit="1" customWidth="1"/>
    <col min="7670" max="7675" width="11.44140625" style="2"/>
    <col min="7676" max="7676" width="12.6640625" style="2" bestFit="1" customWidth="1"/>
    <col min="7677" max="7678" width="11.44140625" style="2"/>
    <col min="7679" max="7679" width="12.6640625" style="2" bestFit="1" customWidth="1"/>
    <col min="7680" max="7681" width="13.6640625" style="2" bestFit="1" customWidth="1"/>
    <col min="7682" max="7682" width="16.88671875" style="2" customWidth="1"/>
    <col min="7683" max="7685" width="13.6640625" style="2" bestFit="1" customWidth="1"/>
    <col min="7686" max="7686" width="12.6640625" style="2" bestFit="1" customWidth="1"/>
    <col min="7687" max="7687" width="11.6640625" style="2" bestFit="1" customWidth="1"/>
    <col min="7688" max="7688" width="14.109375" style="2" bestFit="1" customWidth="1"/>
    <col min="7689" max="7920" width="11.44140625" style="2"/>
    <col min="7921" max="7921" width="17.6640625" style="2" bestFit="1" customWidth="1"/>
    <col min="7922" max="7922" width="76.6640625" style="2" customWidth="1"/>
    <col min="7923" max="7924" width="11.44140625" style="2"/>
    <col min="7925" max="7925" width="13.6640625" style="2" bestFit="1" customWidth="1"/>
    <col min="7926" max="7931" width="11.44140625" style="2"/>
    <col min="7932" max="7932" width="12.6640625" style="2" bestFit="1" customWidth="1"/>
    <col min="7933" max="7934" width="11.44140625" style="2"/>
    <col min="7935" max="7935" width="12.6640625" style="2" bestFit="1" customWidth="1"/>
    <col min="7936" max="7937" width="13.6640625" style="2" bestFit="1" customWidth="1"/>
    <col min="7938" max="7938" width="16.88671875" style="2" customWidth="1"/>
    <col min="7939" max="7941" width="13.6640625" style="2" bestFit="1" customWidth="1"/>
    <col min="7942" max="7942" width="12.6640625" style="2" bestFit="1" customWidth="1"/>
    <col min="7943" max="7943" width="11.6640625" style="2" bestFit="1" customWidth="1"/>
    <col min="7944" max="7944" width="14.109375" style="2" bestFit="1" customWidth="1"/>
    <col min="7945" max="8176" width="11.44140625" style="2"/>
    <col min="8177" max="8177" width="17.6640625" style="2" bestFit="1" customWidth="1"/>
    <col min="8178" max="8178" width="76.6640625" style="2" customWidth="1"/>
    <col min="8179" max="8180" width="11.44140625" style="2"/>
    <col min="8181" max="8181" width="13.6640625" style="2" bestFit="1" customWidth="1"/>
    <col min="8182" max="8187" width="11.44140625" style="2"/>
    <col min="8188" max="8188" width="12.6640625" style="2" bestFit="1" customWidth="1"/>
    <col min="8189" max="8190" width="11.44140625" style="2"/>
    <col min="8191" max="8191" width="12.6640625" style="2" bestFit="1" customWidth="1"/>
    <col min="8192" max="8193" width="13.6640625" style="2" bestFit="1" customWidth="1"/>
    <col min="8194" max="8194" width="16.88671875" style="2" customWidth="1"/>
    <col min="8195" max="8197" width="13.6640625" style="2" bestFit="1" customWidth="1"/>
    <col min="8198" max="8198" width="12.6640625" style="2" bestFit="1" customWidth="1"/>
    <col min="8199" max="8199" width="11.6640625" style="2" bestFit="1" customWidth="1"/>
    <col min="8200" max="8200" width="14.109375" style="2" bestFit="1" customWidth="1"/>
    <col min="8201" max="8432" width="11.44140625" style="2"/>
    <col min="8433" max="8433" width="17.6640625" style="2" bestFit="1" customWidth="1"/>
    <col min="8434" max="8434" width="76.6640625" style="2" customWidth="1"/>
    <col min="8435" max="8436" width="11.44140625" style="2"/>
    <col min="8437" max="8437" width="13.6640625" style="2" bestFit="1" customWidth="1"/>
    <col min="8438" max="8443" width="11.44140625" style="2"/>
    <col min="8444" max="8444" width="12.6640625" style="2" bestFit="1" customWidth="1"/>
    <col min="8445" max="8446" width="11.44140625" style="2"/>
    <col min="8447" max="8447" width="12.6640625" style="2" bestFit="1" customWidth="1"/>
    <col min="8448" max="8449" width="13.6640625" style="2" bestFit="1" customWidth="1"/>
    <col min="8450" max="8450" width="16.88671875" style="2" customWidth="1"/>
    <col min="8451" max="8453" width="13.6640625" style="2" bestFit="1" customWidth="1"/>
    <col min="8454" max="8454" width="12.6640625" style="2" bestFit="1" customWidth="1"/>
    <col min="8455" max="8455" width="11.6640625" style="2" bestFit="1" customWidth="1"/>
    <col min="8456" max="8456" width="14.109375" style="2" bestFit="1" customWidth="1"/>
    <col min="8457" max="8688" width="11.44140625" style="2"/>
    <col min="8689" max="8689" width="17.6640625" style="2" bestFit="1" customWidth="1"/>
    <col min="8690" max="8690" width="76.6640625" style="2" customWidth="1"/>
    <col min="8691" max="8692" width="11.44140625" style="2"/>
    <col min="8693" max="8693" width="13.6640625" style="2" bestFit="1" customWidth="1"/>
    <col min="8694" max="8699" width="11.44140625" style="2"/>
    <col min="8700" max="8700" width="12.6640625" style="2" bestFit="1" customWidth="1"/>
    <col min="8701" max="8702" width="11.44140625" style="2"/>
    <col min="8703" max="8703" width="12.6640625" style="2" bestFit="1" customWidth="1"/>
    <col min="8704" max="8705" width="13.6640625" style="2" bestFit="1" customWidth="1"/>
    <col min="8706" max="8706" width="16.88671875" style="2" customWidth="1"/>
    <col min="8707" max="8709" width="13.6640625" style="2" bestFit="1" customWidth="1"/>
    <col min="8710" max="8710" width="12.6640625" style="2" bestFit="1" customWidth="1"/>
    <col min="8711" max="8711" width="11.6640625" style="2" bestFit="1" customWidth="1"/>
    <col min="8712" max="8712" width="14.109375" style="2" bestFit="1" customWidth="1"/>
    <col min="8713" max="8944" width="11.44140625" style="2"/>
    <col min="8945" max="8945" width="17.6640625" style="2" bestFit="1" customWidth="1"/>
    <col min="8946" max="8946" width="76.6640625" style="2" customWidth="1"/>
    <col min="8947" max="8948" width="11.44140625" style="2"/>
    <col min="8949" max="8949" width="13.6640625" style="2" bestFit="1" customWidth="1"/>
    <col min="8950" max="8955" width="11.44140625" style="2"/>
    <col min="8956" max="8956" width="12.6640625" style="2" bestFit="1" customWidth="1"/>
    <col min="8957" max="8958" width="11.44140625" style="2"/>
    <col min="8959" max="8959" width="12.6640625" style="2" bestFit="1" customWidth="1"/>
    <col min="8960" max="8961" width="13.6640625" style="2" bestFit="1" customWidth="1"/>
    <col min="8962" max="8962" width="16.88671875" style="2" customWidth="1"/>
    <col min="8963" max="8965" width="13.6640625" style="2" bestFit="1" customWidth="1"/>
    <col min="8966" max="8966" width="12.6640625" style="2" bestFit="1" customWidth="1"/>
    <col min="8967" max="8967" width="11.6640625" style="2" bestFit="1" customWidth="1"/>
    <col min="8968" max="8968" width="14.109375" style="2" bestFit="1" customWidth="1"/>
    <col min="8969" max="9200" width="11.44140625" style="2"/>
    <col min="9201" max="9201" width="17.6640625" style="2" bestFit="1" customWidth="1"/>
    <col min="9202" max="9202" width="76.6640625" style="2" customWidth="1"/>
    <col min="9203" max="9204" width="11.44140625" style="2"/>
    <col min="9205" max="9205" width="13.6640625" style="2" bestFit="1" customWidth="1"/>
    <col min="9206" max="9211" width="11.44140625" style="2"/>
    <col min="9212" max="9212" width="12.6640625" style="2" bestFit="1" customWidth="1"/>
    <col min="9213" max="9214" width="11.44140625" style="2"/>
    <col min="9215" max="9215" width="12.6640625" style="2" bestFit="1" customWidth="1"/>
    <col min="9216" max="9217" width="13.6640625" style="2" bestFit="1" customWidth="1"/>
    <col min="9218" max="9218" width="16.88671875" style="2" customWidth="1"/>
    <col min="9219" max="9221" width="13.6640625" style="2" bestFit="1" customWidth="1"/>
    <col min="9222" max="9222" width="12.6640625" style="2" bestFit="1" customWidth="1"/>
    <col min="9223" max="9223" width="11.6640625" style="2" bestFit="1" customWidth="1"/>
    <col min="9224" max="9224" width="14.109375" style="2" bestFit="1" customWidth="1"/>
    <col min="9225" max="9456" width="11.44140625" style="2"/>
    <col min="9457" max="9457" width="17.6640625" style="2" bestFit="1" customWidth="1"/>
    <col min="9458" max="9458" width="76.6640625" style="2" customWidth="1"/>
    <col min="9459" max="9460" width="11.44140625" style="2"/>
    <col min="9461" max="9461" width="13.6640625" style="2" bestFit="1" customWidth="1"/>
    <col min="9462" max="9467" width="11.44140625" style="2"/>
    <col min="9468" max="9468" width="12.6640625" style="2" bestFit="1" customWidth="1"/>
    <col min="9469" max="9470" width="11.44140625" style="2"/>
    <col min="9471" max="9471" width="12.6640625" style="2" bestFit="1" customWidth="1"/>
    <col min="9472" max="9473" width="13.6640625" style="2" bestFit="1" customWidth="1"/>
    <col min="9474" max="9474" width="16.88671875" style="2" customWidth="1"/>
    <col min="9475" max="9477" width="13.6640625" style="2" bestFit="1" customWidth="1"/>
    <col min="9478" max="9478" width="12.6640625" style="2" bestFit="1" customWidth="1"/>
    <col min="9479" max="9479" width="11.6640625" style="2" bestFit="1" customWidth="1"/>
    <col min="9480" max="9480" width="14.109375" style="2" bestFit="1" customWidth="1"/>
    <col min="9481" max="9712" width="11.44140625" style="2"/>
    <col min="9713" max="9713" width="17.6640625" style="2" bestFit="1" customWidth="1"/>
    <col min="9714" max="9714" width="76.6640625" style="2" customWidth="1"/>
    <col min="9715" max="9716" width="11.44140625" style="2"/>
    <col min="9717" max="9717" width="13.6640625" style="2" bestFit="1" customWidth="1"/>
    <col min="9718" max="9723" width="11.44140625" style="2"/>
    <col min="9724" max="9724" width="12.6640625" style="2" bestFit="1" customWidth="1"/>
    <col min="9725" max="9726" width="11.44140625" style="2"/>
    <col min="9727" max="9727" width="12.6640625" style="2" bestFit="1" customWidth="1"/>
    <col min="9728" max="9729" width="13.6640625" style="2" bestFit="1" customWidth="1"/>
    <col min="9730" max="9730" width="16.88671875" style="2" customWidth="1"/>
    <col min="9731" max="9733" width="13.6640625" style="2" bestFit="1" customWidth="1"/>
    <col min="9734" max="9734" width="12.6640625" style="2" bestFit="1" customWidth="1"/>
    <col min="9735" max="9735" width="11.6640625" style="2" bestFit="1" customWidth="1"/>
    <col min="9736" max="9736" width="14.109375" style="2" bestFit="1" customWidth="1"/>
    <col min="9737" max="9968" width="11.44140625" style="2"/>
    <col min="9969" max="9969" width="17.6640625" style="2" bestFit="1" customWidth="1"/>
    <col min="9970" max="9970" width="76.6640625" style="2" customWidth="1"/>
    <col min="9971" max="9972" width="11.44140625" style="2"/>
    <col min="9973" max="9973" width="13.6640625" style="2" bestFit="1" customWidth="1"/>
    <col min="9974" max="9979" width="11.44140625" style="2"/>
    <col min="9980" max="9980" width="12.6640625" style="2" bestFit="1" customWidth="1"/>
    <col min="9981" max="9982" width="11.44140625" style="2"/>
    <col min="9983" max="9983" width="12.6640625" style="2" bestFit="1" customWidth="1"/>
    <col min="9984" max="9985" width="13.6640625" style="2" bestFit="1" customWidth="1"/>
    <col min="9986" max="9986" width="16.88671875" style="2" customWidth="1"/>
    <col min="9987" max="9989" width="13.6640625" style="2" bestFit="1" customWidth="1"/>
    <col min="9990" max="9990" width="12.6640625" style="2" bestFit="1" customWidth="1"/>
    <col min="9991" max="9991" width="11.6640625" style="2" bestFit="1" customWidth="1"/>
    <col min="9992" max="9992" width="14.109375" style="2" bestFit="1" customWidth="1"/>
    <col min="9993" max="10224" width="11.44140625" style="2"/>
    <col min="10225" max="10225" width="17.6640625" style="2" bestFit="1" customWidth="1"/>
    <col min="10226" max="10226" width="76.6640625" style="2" customWidth="1"/>
    <col min="10227" max="10228" width="11.44140625" style="2"/>
    <col min="10229" max="10229" width="13.6640625" style="2" bestFit="1" customWidth="1"/>
    <col min="10230" max="10235" width="11.44140625" style="2"/>
    <col min="10236" max="10236" width="12.6640625" style="2" bestFit="1" customWidth="1"/>
    <col min="10237" max="10238" width="11.44140625" style="2"/>
    <col min="10239" max="10239" width="12.6640625" style="2" bestFit="1" customWidth="1"/>
    <col min="10240" max="10241" width="13.6640625" style="2" bestFit="1" customWidth="1"/>
    <col min="10242" max="10242" width="16.88671875" style="2" customWidth="1"/>
    <col min="10243" max="10245" width="13.6640625" style="2" bestFit="1" customWidth="1"/>
    <col min="10246" max="10246" width="12.6640625" style="2" bestFit="1" customWidth="1"/>
    <col min="10247" max="10247" width="11.6640625" style="2" bestFit="1" customWidth="1"/>
    <col min="10248" max="10248" width="14.109375" style="2" bestFit="1" customWidth="1"/>
    <col min="10249" max="10480" width="11.44140625" style="2"/>
    <col min="10481" max="10481" width="17.6640625" style="2" bestFit="1" customWidth="1"/>
    <col min="10482" max="10482" width="76.6640625" style="2" customWidth="1"/>
    <col min="10483" max="10484" width="11.44140625" style="2"/>
    <col min="10485" max="10485" width="13.6640625" style="2" bestFit="1" customWidth="1"/>
    <col min="10486" max="10491" width="11.44140625" style="2"/>
    <col min="10492" max="10492" width="12.6640625" style="2" bestFit="1" customWidth="1"/>
    <col min="10493" max="10494" width="11.44140625" style="2"/>
    <col min="10495" max="10495" width="12.6640625" style="2" bestFit="1" customWidth="1"/>
    <col min="10496" max="10497" width="13.6640625" style="2" bestFit="1" customWidth="1"/>
    <col min="10498" max="10498" width="16.88671875" style="2" customWidth="1"/>
    <col min="10499" max="10501" width="13.6640625" style="2" bestFit="1" customWidth="1"/>
    <col min="10502" max="10502" width="12.6640625" style="2" bestFit="1" customWidth="1"/>
    <col min="10503" max="10503" width="11.6640625" style="2" bestFit="1" customWidth="1"/>
    <col min="10504" max="10504" width="14.109375" style="2" bestFit="1" customWidth="1"/>
    <col min="10505" max="10736" width="11.44140625" style="2"/>
    <col min="10737" max="10737" width="17.6640625" style="2" bestFit="1" customWidth="1"/>
    <col min="10738" max="10738" width="76.6640625" style="2" customWidth="1"/>
    <col min="10739" max="10740" width="11.44140625" style="2"/>
    <col min="10741" max="10741" width="13.6640625" style="2" bestFit="1" customWidth="1"/>
    <col min="10742" max="10747" width="11.44140625" style="2"/>
    <col min="10748" max="10748" width="12.6640625" style="2" bestFit="1" customWidth="1"/>
    <col min="10749" max="10750" width="11.44140625" style="2"/>
    <col min="10751" max="10751" width="12.6640625" style="2" bestFit="1" customWidth="1"/>
    <col min="10752" max="10753" width="13.6640625" style="2" bestFit="1" customWidth="1"/>
    <col min="10754" max="10754" width="16.88671875" style="2" customWidth="1"/>
    <col min="10755" max="10757" width="13.6640625" style="2" bestFit="1" customWidth="1"/>
    <col min="10758" max="10758" width="12.6640625" style="2" bestFit="1" customWidth="1"/>
    <col min="10759" max="10759" width="11.6640625" style="2" bestFit="1" customWidth="1"/>
    <col min="10760" max="10760" width="14.109375" style="2" bestFit="1" customWidth="1"/>
    <col min="10761" max="10992" width="11.44140625" style="2"/>
    <col min="10993" max="10993" width="17.6640625" style="2" bestFit="1" customWidth="1"/>
    <col min="10994" max="10994" width="76.6640625" style="2" customWidth="1"/>
    <col min="10995" max="10996" width="11.44140625" style="2"/>
    <col min="10997" max="10997" width="13.6640625" style="2" bestFit="1" customWidth="1"/>
    <col min="10998" max="11003" width="11.44140625" style="2"/>
    <col min="11004" max="11004" width="12.6640625" style="2" bestFit="1" customWidth="1"/>
    <col min="11005" max="11006" width="11.44140625" style="2"/>
    <col min="11007" max="11007" width="12.6640625" style="2" bestFit="1" customWidth="1"/>
    <col min="11008" max="11009" width="13.6640625" style="2" bestFit="1" customWidth="1"/>
    <col min="11010" max="11010" width="16.88671875" style="2" customWidth="1"/>
    <col min="11011" max="11013" width="13.6640625" style="2" bestFit="1" customWidth="1"/>
    <col min="11014" max="11014" width="12.6640625" style="2" bestFit="1" customWidth="1"/>
    <col min="11015" max="11015" width="11.6640625" style="2" bestFit="1" customWidth="1"/>
    <col min="11016" max="11016" width="14.109375" style="2" bestFit="1" customWidth="1"/>
    <col min="11017" max="11248" width="11.44140625" style="2"/>
    <col min="11249" max="11249" width="17.6640625" style="2" bestFit="1" customWidth="1"/>
    <col min="11250" max="11250" width="76.6640625" style="2" customWidth="1"/>
    <col min="11251" max="11252" width="11.44140625" style="2"/>
    <col min="11253" max="11253" width="13.6640625" style="2" bestFit="1" customWidth="1"/>
    <col min="11254" max="11259" width="11.44140625" style="2"/>
    <col min="11260" max="11260" width="12.6640625" style="2" bestFit="1" customWidth="1"/>
    <col min="11261" max="11262" width="11.44140625" style="2"/>
    <col min="11263" max="11263" width="12.6640625" style="2" bestFit="1" customWidth="1"/>
    <col min="11264" max="11265" width="13.6640625" style="2" bestFit="1" customWidth="1"/>
    <col min="11266" max="11266" width="16.88671875" style="2" customWidth="1"/>
    <col min="11267" max="11269" width="13.6640625" style="2" bestFit="1" customWidth="1"/>
    <col min="11270" max="11270" width="12.6640625" style="2" bestFit="1" customWidth="1"/>
    <col min="11271" max="11271" width="11.6640625" style="2" bestFit="1" customWidth="1"/>
    <col min="11272" max="11272" width="14.109375" style="2" bestFit="1" customWidth="1"/>
    <col min="11273" max="11504" width="11.44140625" style="2"/>
    <col min="11505" max="11505" width="17.6640625" style="2" bestFit="1" customWidth="1"/>
    <col min="11506" max="11506" width="76.6640625" style="2" customWidth="1"/>
    <col min="11507" max="11508" width="11.44140625" style="2"/>
    <col min="11509" max="11509" width="13.6640625" style="2" bestFit="1" customWidth="1"/>
    <col min="11510" max="11515" width="11.44140625" style="2"/>
    <col min="11516" max="11516" width="12.6640625" style="2" bestFit="1" customWidth="1"/>
    <col min="11517" max="11518" width="11.44140625" style="2"/>
    <col min="11519" max="11519" width="12.6640625" style="2" bestFit="1" customWidth="1"/>
    <col min="11520" max="11521" width="13.6640625" style="2" bestFit="1" customWidth="1"/>
    <col min="11522" max="11522" width="16.88671875" style="2" customWidth="1"/>
    <col min="11523" max="11525" width="13.6640625" style="2" bestFit="1" customWidth="1"/>
    <col min="11526" max="11526" width="12.6640625" style="2" bestFit="1" customWidth="1"/>
    <col min="11527" max="11527" width="11.6640625" style="2" bestFit="1" customWidth="1"/>
    <col min="11528" max="11528" width="14.109375" style="2" bestFit="1" customWidth="1"/>
    <col min="11529" max="11760" width="11.44140625" style="2"/>
    <col min="11761" max="11761" width="17.6640625" style="2" bestFit="1" customWidth="1"/>
    <col min="11762" max="11762" width="76.6640625" style="2" customWidth="1"/>
    <col min="11763" max="11764" width="11.44140625" style="2"/>
    <col min="11765" max="11765" width="13.6640625" style="2" bestFit="1" customWidth="1"/>
    <col min="11766" max="11771" width="11.44140625" style="2"/>
    <col min="11772" max="11772" width="12.6640625" style="2" bestFit="1" customWidth="1"/>
    <col min="11773" max="11774" width="11.44140625" style="2"/>
    <col min="11775" max="11775" width="12.6640625" style="2" bestFit="1" customWidth="1"/>
    <col min="11776" max="11777" width="13.6640625" style="2" bestFit="1" customWidth="1"/>
    <col min="11778" max="11778" width="16.88671875" style="2" customWidth="1"/>
    <col min="11779" max="11781" width="13.6640625" style="2" bestFit="1" customWidth="1"/>
    <col min="11782" max="11782" width="12.6640625" style="2" bestFit="1" customWidth="1"/>
    <col min="11783" max="11783" width="11.6640625" style="2" bestFit="1" customWidth="1"/>
    <col min="11784" max="11784" width="14.109375" style="2" bestFit="1" customWidth="1"/>
    <col min="11785" max="12016" width="11.44140625" style="2"/>
    <col min="12017" max="12017" width="17.6640625" style="2" bestFit="1" customWidth="1"/>
    <col min="12018" max="12018" width="76.6640625" style="2" customWidth="1"/>
    <col min="12019" max="12020" width="11.44140625" style="2"/>
    <col min="12021" max="12021" width="13.6640625" style="2" bestFit="1" customWidth="1"/>
    <col min="12022" max="12027" width="11.44140625" style="2"/>
    <col min="12028" max="12028" width="12.6640625" style="2" bestFit="1" customWidth="1"/>
    <col min="12029" max="12030" width="11.44140625" style="2"/>
    <col min="12031" max="12031" width="12.6640625" style="2" bestFit="1" customWidth="1"/>
    <col min="12032" max="12033" width="13.6640625" style="2" bestFit="1" customWidth="1"/>
    <col min="12034" max="12034" width="16.88671875" style="2" customWidth="1"/>
    <col min="12035" max="12037" width="13.6640625" style="2" bestFit="1" customWidth="1"/>
    <col min="12038" max="12038" width="12.6640625" style="2" bestFit="1" customWidth="1"/>
    <col min="12039" max="12039" width="11.6640625" style="2" bestFit="1" customWidth="1"/>
    <col min="12040" max="12040" width="14.109375" style="2" bestFit="1" customWidth="1"/>
    <col min="12041" max="12272" width="11.44140625" style="2"/>
    <col min="12273" max="12273" width="17.6640625" style="2" bestFit="1" customWidth="1"/>
    <col min="12274" max="12274" width="76.6640625" style="2" customWidth="1"/>
    <col min="12275" max="12276" width="11.44140625" style="2"/>
    <col min="12277" max="12277" width="13.6640625" style="2" bestFit="1" customWidth="1"/>
    <col min="12278" max="12283" width="11.44140625" style="2"/>
    <col min="12284" max="12284" width="12.6640625" style="2" bestFit="1" customWidth="1"/>
    <col min="12285" max="12286" width="11.44140625" style="2"/>
    <col min="12287" max="12287" width="12.6640625" style="2" bestFit="1" customWidth="1"/>
    <col min="12288" max="12289" width="13.6640625" style="2" bestFit="1" customWidth="1"/>
    <col min="12290" max="12290" width="16.88671875" style="2" customWidth="1"/>
    <col min="12291" max="12293" width="13.6640625" style="2" bestFit="1" customWidth="1"/>
    <col min="12294" max="12294" width="12.6640625" style="2" bestFit="1" customWidth="1"/>
    <col min="12295" max="12295" width="11.6640625" style="2" bestFit="1" customWidth="1"/>
    <col min="12296" max="12296" width="14.109375" style="2" bestFit="1" customWidth="1"/>
    <col min="12297" max="12528" width="11.44140625" style="2"/>
    <col min="12529" max="12529" width="17.6640625" style="2" bestFit="1" customWidth="1"/>
    <col min="12530" max="12530" width="76.6640625" style="2" customWidth="1"/>
    <col min="12531" max="12532" width="11.44140625" style="2"/>
    <col min="12533" max="12533" width="13.6640625" style="2" bestFit="1" customWidth="1"/>
    <col min="12534" max="12539" width="11.44140625" style="2"/>
    <col min="12540" max="12540" width="12.6640625" style="2" bestFit="1" customWidth="1"/>
    <col min="12541" max="12542" width="11.44140625" style="2"/>
    <col min="12543" max="12543" width="12.6640625" style="2" bestFit="1" customWidth="1"/>
    <col min="12544" max="12545" width="13.6640625" style="2" bestFit="1" customWidth="1"/>
    <col min="12546" max="12546" width="16.88671875" style="2" customWidth="1"/>
    <col min="12547" max="12549" width="13.6640625" style="2" bestFit="1" customWidth="1"/>
    <col min="12550" max="12550" width="12.6640625" style="2" bestFit="1" customWidth="1"/>
    <col min="12551" max="12551" width="11.6640625" style="2" bestFit="1" customWidth="1"/>
    <col min="12552" max="12552" width="14.109375" style="2" bestFit="1" customWidth="1"/>
    <col min="12553" max="12784" width="11.44140625" style="2"/>
    <col min="12785" max="12785" width="17.6640625" style="2" bestFit="1" customWidth="1"/>
    <col min="12786" max="12786" width="76.6640625" style="2" customWidth="1"/>
    <col min="12787" max="12788" width="11.44140625" style="2"/>
    <col min="12789" max="12789" width="13.6640625" style="2" bestFit="1" customWidth="1"/>
    <col min="12790" max="12795" width="11.44140625" style="2"/>
    <col min="12796" max="12796" width="12.6640625" style="2" bestFit="1" customWidth="1"/>
    <col min="12797" max="12798" width="11.44140625" style="2"/>
    <col min="12799" max="12799" width="12.6640625" style="2" bestFit="1" customWidth="1"/>
    <col min="12800" max="12801" width="13.6640625" style="2" bestFit="1" customWidth="1"/>
    <col min="12802" max="12802" width="16.88671875" style="2" customWidth="1"/>
    <col min="12803" max="12805" width="13.6640625" style="2" bestFit="1" customWidth="1"/>
    <col min="12806" max="12806" width="12.6640625" style="2" bestFit="1" customWidth="1"/>
    <col min="12807" max="12807" width="11.6640625" style="2" bestFit="1" customWidth="1"/>
    <col min="12808" max="12808" width="14.109375" style="2" bestFit="1" customWidth="1"/>
    <col min="12809" max="13040" width="11.44140625" style="2"/>
    <col min="13041" max="13041" width="17.6640625" style="2" bestFit="1" customWidth="1"/>
    <col min="13042" max="13042" width="76.6640625" style="2" customWidth="1"/>
    <col min="13043" max="13044" width="11.44140625" style="2"/>
    <col min="13045" max="13045" width="13.6640625" style="2" bestFit="1" customWidth="1"/>
    <col min="13046" max="13051" width="11.44140625" style="2"/>
    <col min="13052" max="13052" width="12.6640625" style="2" bestFit="1" customWidth="1"/>
    <col min="13053" max="13054" width="11.44140625" style="2"/>
    <col min="13055" max="13055" width="12.6640625" style="2" bestFit="1" customWidth="1"/>
    <col min="13056" max="13057" width="13.6640625" style="2" bestFit="1" customWidth="1"/>
    <col min="13058" max="13058" width="16.88671875" style="2" customWidth="1"/>
    <col min="13059" max="13061" width="13.6640625" style="2" bestFit="1" customWidth="1"/>
    <col min="13062" max="13062" width="12.6640625" style="2" bestFit="1" customWidth="1"/>
    <col min="13063" max="13063" width="11.6640625" style="2" bestFit="1" customWidth="1"/>
    <col min="13064" max="13064" width="14.109375" style="2" bestFit="1" customWidth="1"/>
    <col min="13065" max="13296" width="11.44140625" style="2"/>
    <col min="13297" max="13297" width="17.6640625" style="2" bestFit="1" customWidth="1"/>
    <col min="13298" max="13298" width="76.6640625" style="2" customWidth="1"/>
    <col min="13299" max="13300" width="11.44140625" style="2"/>
    <col min="13301" max="13301" width="13.6640625" style="2" bestFit="1" customWidth="1"/>
    <col min="13302" max="13307" width="11.44140625" style="2"/>
    <col min="13308" max="13308" width="12.6640625" style="2" bestFit="1" customWidth="1"/>
    <col min="13309" max="13310" width="11.44140625" style="2"/>
    <col min="13311" max="13311" width="12.6640625" style="2" bestFit="1" customWidth="1"/>
    <col min="13312" max="13313" width="13.6640625" style="2" bestFit="1" customWidth="1"/>
    <col min="13314" max="13314" width="16.88671875" style="2" customWidth="1"/>
    <col min="13315" max="13317" width="13.6640625" style="2" bestFit="1" customWidth="1"/>
    <col min="13318" max="13318" width="12.6640625" style="2" bestFit="1" customWidth="1"/>
    <col min="13319" max="13319" width="11.6640625" style="2" bestFit="1" customWidth="1"/>
    <col min="13320" max="13320" width="14.109375" style="2" bestFit="1" customWidth="1"/>
    <col min="13321" max="13552" width="11.44140625" style="2"/>
    <col min="13553" max="13553" width="17.6640625" style="2" bestFit="1" customWidth="1"/>
    <col min="13554" max="13554" width="76.6640625" style="2" customWidth="1"/>
    <col min="13555" max="13556" width="11.44140625" style="2"/>
    <col min="13557" max="13557" width="13.6640625" style="2" bestFit="1" customWidth="1"/>
    <col min="13558" max="13563" width="11.44140625" style="2"/>
    <col min="13564" max="13564" width="12.6640625" style="2" bestFit="1" customWidth="1"/>
    <col min="13565" max="13566" width="11.44140625" style="2"/>
    <col min="13567" max="13567" width="12.6640625" style="2" bestFit="1" customWidth="1"/>
    <col min="13568" max="13569" width="13.6640625" style="2" bestFit="1" customWidth="1"/>
    <col min="13570" max="13570" width="16.88671875" style="2" customWidth="1"/>
    <col min="13571" max="13573" width="13.6640625" style="2" bestFit="1" customWidth="1"/>
    <col min="13574" max="13574" width="12.6640625" style="2" bestFit="1" customWidth="1"/>
    <col min="13575" max="13575" width="11.6640625" style="2" bestFit="1" customWidth="1"/>
    <col min="13576" max="13576" width="14.109375" style="2" bestFit="1" customWidth="1"/>
    <col min="13577" max="13808" width="11.44140625" style="2"/>
    <col min="13809" max="13809" width="17.6640625" style="2" bestFit="1" customWidth="1"/>
    <col min="13810" max="13810" width="76.6640625" style="2" customWidth="1"/>
    <col min="13811" max="13812" width="11.44140625" style="2"/>
    <col min="13813" max="13813" width="13.6640625" style="2" bestFit="1" customWidth="1"/>
    <col min="13814" max="13819" width="11.44140625" style="2"/>
    <col min="13820" max="13820" width="12.6640625" style="2" bestFit="1" customWidth="1"/>
    <col min="13821" max="13822" width="11.44140625" style="2"/>
    <col min="13823" max="13823" width="12.6640625" style="2" bestFit="1" customWidth="1"/>
    <col min="13824" max="13825" width="13.6640625" style="2" bestFit="1" customWidth="1"/>
    <col min="13826" max="13826" width="16.88671875" style="2" customWidth="1"/>
    <col min="13827" max="13829" width="13.6640625" style="2" bestFit="1" customWidth="1"/>
    <col min="13830" max="13830" width="12.6640625" style="2" bestFit="1" customWidth="1"/>
    <col min="13831" max="13831" width="11.6640625" style="2" bestFit="1" customWidth="1"/>
    <col min="13832" max="13832" width="14.109375" style="2" bestFit="1" customWidth="1"/>
    <col min="13833" max="14064" width="11.44140625" style="2"/>
    <col min="14065" max="14065" width="17.6640625" style="2" bestFit="1" customWidth="1"/>
    <col min="14066" max="14066" width="76.6640625" style="2" customWidth="1"/>
    <col min="14067" max="14068" width="11.44140625" style="2"/>
    <col min="14069" max="14069" width="13.6640625" style="2" bestFit="1" customWidth="1"/>
    <col min="14070" max="14075" width="11.44140625" style="2"/>
    <col min="14076" max="14076" width="12.6640625" style="2" bestFit="1" customWidth="1"/>
    <col min="14077" max="14078" width="11.44140625" style="2"/>
    <col min="14079" max="14079" width="12.6640625" style="2" bestFit="1" customWidth="1"/>
    <col min="14080" max="14081" width="13.6640625" style="2" bestFit="1" customWidth="1"/>
    <col min="14082" max="14082" width="16.88671875" style="2" customWidth="1"/>
    <col min="14083" max="14085" width="13.6640625" style="2" bestFit="1" customWidth="1"/>
    <col min="14086" max="14086" width="12.6640625" style="2" bestFit="1" customWidth="1"/>
    <col min="14087" max="14087" width="11.6640625" style="2" bestFit="1" customWidth="1"/>
    <col min="14088" max="14088" width="14.109375" style="2" bestFit="1" customWidth="1"/>
    <col min="14089" max="14320" width="11.44140625" style="2"/>
    <col min="14321" max="14321" width="17.6640625" style="2" bestFit="1" customWidth="1"/>
    <col min="14322" max="14322" width="76.6640625" style="2" customWidth="1"/>
    <col min="14323" max="14324" width="11.44140625" style="2"/>
    <col min="14325" max="14325" width="13.6640625" style="2" bestFit="1" customWidth="1"/>
    <col min="14326" max="14331" width="11.44140625" style="2"/>
    <col min="14332" max="14332" width="12.6640625" style="2" bestFit="1" customWidth="1"/>
    <col min="14333" max="14334" width="11.44140625" style="2"/>
    <col min="14335" max="14335" width="12.6640625" style="2" bestFit="1" customWidth="1"/>
    <col min="14336" max="14337" width="13.6640625" style="2" bestFit="1" customWidth="1"/>
    <col min="14338" max="14338" width="16.88671875" style="2" customWidth="1"/>
    <col min="14339" max="14341" width="13.6640625" style="2" bestFit="1" customWidth="1"/>
    <col min="14342" max="14342" width="12.6640625" style="2" bestFit="1" customWidth="1"/>
    <col min="14343" max="14343" width="11.6640625" style="2" bestFit="1" customWidth="1"/>
    <col min="14344" max="14344" width="14.109375" style="2" bestFit="1" customWidth="1"/>
    <col min="14345" max="14576" width="11.44140625" style="2"/>
    <col min="14577" max="14577" width="17.6640625" style="2" bestFit="1" customWidth="1"/>
    <col min="14578" max="14578" width="76.6640625" style="2" customWidth="1"/>
    <col min="14579" max="14580" width="11.44140625" style="2"/>
    <col min="14581" max="14581" width="13.6640625" style="2" bestFit="1" customWidth="1"/>
    <col min="14582" max="14587" width="11.44140625" style="2"/>
    <col min="14588" max="14588" width="12.6640625" style="2" bestFit="1" customWidth="1"/>
    <col min="14589" max="14590" width="11.44140625" style="2"/>
    <col min="14591" max="14591" width="12.6640625" style="2" bestFit="1" customWidth="1"/>
    <col min="14592" max="14593" width="13.6640625" style="2" bestFit="1" customWidth="1"/>
    <col min="14594" max="14594" width="16.88671875" style="2" customWidth="1"/>
    <col min="14595" max="14597" width="13.6640625" style="2" bestFit="1" customWidth="1"/>
    <col min="14598" max="14598" width="12.6640625" style="2" bestFit="1" customWidth="1"/>
    <col min="14599" max="14599" width="11.6640625" style="2" bestFit="1" customWidth="1"/>
    <col min="14600" max="14600" width="14.109375" style="2" bestFit="1" customWidth="1"/>
    <col min="14601" max="14832" width="11.44140625" style="2"/>
    <col min="14833" max="14833" width="17.6640625" style="2" bestFit="1" customWidth="1"/>
    <col min="14834" max="14834" width="76.6640625" style="2" customWidth="1"/>
    <col min="14835" max="14836" width="11.44140625" style="2"/>
    <col min="14837" max="14837" width="13.6640625" style="2" bestFit="1" customWidth="1"/>
    <col min="14838" max="14843" width="11.44140625" style="2"/>
    <col min="14844" max="14844" width="12.6640625" style="2" bestFit="1" customWidth="1"/>
    <col min="14845" max="14846" width="11.44140625" style="2"/>
    <col min="14847" max="14847" width="12.6640625" style="2" bestFit="1" customWidth="1"/>
    <col min="14848" max="14849" width="13.6640625" style="2" bestFit="1" customWidth="1"/>
    <col min="14850" max="14850" width="16.88671875" style="2" customWidth="1"/>
    <col min="14851" max="14853" width="13.6640625" style="2" bestFit="1" customWidth="1"/>
    <col min="14854" max="14854" width="12.6640625" style="2" bestFit="1" customWidth="1"/>
    <col min="14855" max="14855" width="11.6640625" style="2" bestFit="1" customWidth="1"/>
    <col min="14856" max="14856" width="14.109375" style="2" bestFit="1" customWidth="1"/>
    <col min="14857" max="15088" width="11.44140625" style="2"/>
    <col min="15089" max="15089" width="17.6640625" style="2" bestFit="1" customWidth="1"/>
    <col min="15090" max="15090" width="76.6640625" style="2" customWidth="1"/>
    <col min="15091" max="15092" width="11.44140625" style="2"/>
    <col min="15093" max="15093" width="13.6640625" style="2" bestFit="1" customWidth="1"/>
    <col min="15094" max="15099" width="11.44140625" style="2"/>
    <col min="15100" max="15100" width="12.6640625" style="2" bestFit="1" customWidth="1"/>
    <col min="15101" max="15102" width="11.44140625" style="2"/>
    <col min="15103" max="15103" width="12.6640625" style="2" bestFit="1" customWidth="1"/>
    <col min="15104" max="15105" width="13.6640625" style="2" bestFit="1" customWidth="1"/>
    <col min="15106" max="15106" width="16.88671875" style="2" customWidth="1"/>
    <col min="15107" max="15109" width="13.6640625" style="2" bestFit="1" customWidth="1"/>
    <col min="15110" max="15110" width="12.6640625" style="2" bestFit="1" customWidth="1"/>
    <col min="15111" max="15111" width="11.6640625" style="2" bestFit="1" customWidth="1"/>
    <col min="15112" max="15112" width="14.109375" style="2" bestFit="1" customWidth="1"/>
    <col min="15113" max="15344" width="11.44140625" style="2"/>
    <col min="15345" max="15345" width="17.6640625" style="2" bestFit="1" customWidth="1"/>
    <col min="15346" max="15346" width="76.6640625" style="2" customWidth="1"/>
    <col min="15347" max="15348" width="11.44140625" style="2"/>
    <col min="15349" max="15349" width="13.6640625" style="2" bestFit="1" customWidth="1"/>
    <col min="15350" max="15355" width="11.44140625" style="2"/>
    <col min="15356" max="15356" width="12.6640625" style="2" bestFit="1" customWidth="1"/>
    <col min="15357" max="15358" width="11.44140625" style="2"/>
    <col min="15359" max="15359" width="12.6640625" style="2" bestFit="1" customWidth="1"/>
    <col min="15360" max="15361" width="13.6640625" style="2" bestFit="1" customWidth="1"/>
    <col min="15362" max="15362" width="16.88671875" style="2" customWidth="1"/>
    <col min="15363" max="15365" width="13.6640625" style="2" bestFit="1" customWidth="1"/>
    <col min="15366" max="15366" width="12.6640625" style="2" bestFit="1" customWidth="1"/>
    <col min="15367" max="15367" width="11.6640625" style="2" bestFit="1" customWidth="1"/>
    <col min="15368" max="15368" width="14.109375" style="2" bestFit="1" customWidth="1"/>
    <col min="15369" max="15600" width="11.44140625" style="2"/>
    <col min="15601" max="15601" width="17.6640625" style="2" bestFit="1" customWidth="1"/>
    <col min="15602" max="15602" width="76.6640625" style="2" customWidth="1"/>
    <col min="15603" max="15604" width="11.44140625" style="2"/>
    <col min="15605" max="15605" width="13.6640625" style="2" bestFit="1" customWidth="1"/>
    <col min="15606" max="15611" width="11.44140625" style="2"/>
    <col min="15612" max="15612" width="12.6640625" style="2" bestFit="1" customWidth="1"/>
    <col min="15613" max="15614" width="11.44140625" style="2"/>
    <col min="15615" max="15615" width="12.6640625" style="2" bestFit="1" customWidth="1"/>
    <col min="15616" max="15617" width="13.6640625" style="2" bestFit="1" customWidth="1"/>
    <col min="15618" max="15618" width="16.88671875" style="2" customWidth="1"/>
    <col min="15619" max="15621" width="13.6640625" style="2" bestFit="1" customWidth="1"/>
    <col min="15622" max="15622" width="12.6640625" style="2" bestFit="1" customWidth="1"/>
    <col min="15623" max="15623" width="11.6640625" style="2" bestFit="1" customWidth="1"/>
    <col min="15624" max="15624" width="14.109375" style="2" bestFit="1" customWidth="1"/>
    <col min="15625" max="15856" width="11.44140625" style="2"/>
    <col min="15857" max="15857" width="17.6640625" style="2" bestFit="1" customWidth="1"/>
    <col min="15858" max="15858" width="76.6640625" style="2" customWidth="1"/>
    <col min="15859" max="15860" width="11.44140625" style="2"/>
    <col min="15861" max="15861" width="13.6640625" style="2" bestFit="1" customWidth="1"/>
    <col min="15862" max="15867" width="11.44140625" style="2"/>
    <col min="15868" max="15868" width="12.6640625" style="2" bestFit="1" customWidth="1"/>
    <col min="15869" max="15870" width="11.44140625" style="2"/>
    <col min="15871" max="15871" width="12.6640625" style="2" bestFit="1" customWidth="1"/>
    <col min="15872" max="15873" width="13.6640625" style="2" bestFit="1" customWidth="1"/>
    <col min="15874" max="15874" width="16.88671875" style="2" customWidth="1"/>
    <col min="15875" max="15877" width="13.6640625" style="2" bestFit="1" customWidth="1"/>
    <col min="15878" max="15878" width="12.6640625" style="2" bestFit="1" customWidth="1"/>
    <col min="15879" max="15879" width="11.6640625" style="2" bestFit="1" customWidth="1"/>
    <col min="15880" max="15880" width="14.109375" style="2" bestFit="1" customWidth="1"/>
    <col min="15881" max="16112" width="11.44140625" style="2"/>
    <col min="16113" max="16113" width="17.6640625" style="2" bestFit="1" customWidth="1"/>
    <col min="16114" max="16114" width="76.6640625" style="2" customWidth="1"/>
    <col min="16115" max="16116" width="11.44140625" style="2"/>
    <col min="16117" max="16117" width="13.6640625" style="2" bestFit="1" customWidth="1"/>
    <col min="16118" max="16123" width="11.44140625" style="2"/>
    <col min="16124" max="16124" width="12.6640625" style="2" bestFit="1" customWidth="1"/>
    <col min="16125" max="16126" width="11.44140625" style="2"/>
    <col min="16127" max="16127" width="12.6640625" style="2" bestFit="1" customWidth="1"/>
    <col min="16128" max="16129" width="13.6640625" style="2" bestFit="1" customWidth="1"/>
    <col min="16130" max="16130" width="16.88671875" style="2" customWidth="1"/>
    <col min="16131" max="16133" width="13.6640625" style="2" bestFit="1" customWidth="1"/>
    <col min="16134" max="16134" width="12.6640625" style="2" bestFit="1" customWidth="1"/>
    <col min="16135" max="16135" width="11.6640625" style="2" bestFit="1" customWidth="1"/>
    <col min="16136" max="16136" width="14.109375" style="2" bestFit="1" customWidth="1"/>
    <col min="16137" max="16384" width="11.44140625" style="2"/>
  </cols>
  <sheetData>
    <row r="1" spans="1:11" ht="51.75" customHeight="1" x14ac:dyDescent="0.3">
      <c r="A1" s="32" t="s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2.75" customHeight="1" x14ac:dyDescent="0.3">
      <c r="A2" s="33" t="s">
        <v>35</v>
      </c>
      <c r="B2" s="33" t="s">
        <v>34</v>
      </c>
      <c r="C2" s="33" t="s">
        <v>0</v>
      </c>
      <c r="D2" s="17" t="s">
        <v>1</v>
      </c>
      <c r="E2" s="33" t="s">
        <v>37</v>
      </c>
      <c r="F2" s="33" t="s">
        <v>2</v>
      </c>
      <c r="G2" s="34" t="s">
        <v>36</v>
      </c>
      <c r="H2" s="33" t="s">
        <v>12</v>
      </c>
      <c r="I2" s="33"/>
      <c r="J2" s="33"/>
      <c r="K2" s="34" t="s">
        <v>57</v>
      </c>
    </row>
    <row r="3" spans="1:11" ht="27" customHeight="1" x14ac:dyDescent="0.3">
      <c r="A3" s="33"/>
      <c r="B3" s="33"/>
      <c r="C3" s="33"/>
      <c r="D3" s="17"/>
      <c r="E3" s="33"/>
      <c r="F3" s="33"/>
      <c r="G3" s="35"/>
      <c r="H3" s="17">
        <v>2024</v>
      </c>
      <c r="I3" s="17">
        <v>2025</v>
      </c>
      <c r="J3" s="17">
        <v>2026</v>
      </c>
      <c r="K3" s="35"/>
    </row>
    <row r="4" spans="1:11" ht="53.25" customHeight="1" x14ac:dyDescent="0.3">
      <c r="A4" s="8">
        <v>1</v>
      </c>
      <c r="B4" s="9" t="s">
        <v>13</v>
      </c>
      <c r="C4" s="10" t="s">
        <v>26</v>
      </c>
      <c r="D4" s="11"/>
      <c r="E4" s="8" t="s">
        <v>38</v>
      </c>
      <c r="F4" s="12">
        <v>899335</v>
      </c>
      <c r="G4" s="31">
        <v>899335</v>
      </c>
      <c r="H4" s="12"/>
      <c r="I4" s="12"/>
      <c r="J4" s="12"/>
      <c r="K4" s="10" t="s">
        <v>46</v>
      </c>
    </row>
    <row r="5" spans="1:11" ht="51.75" customHeight="1" x14ac:dyDescent="0.3">
      <c r="A5" s="8">
        <v>2</v>
      </c>
      <c r="B5" s="9" t="s">
        <v>13</v>
      </c>
      <c r="C5" s="10" t="s">
        <v>23</v>
      </c>
      <c r="D5" s="11"/>
      <c r="E5" s="8" t="s">
        <v>39</v>
      </c>
      <c r="F5" s="12">
        <v>1026736</v>
      </c>
      <c r="G5" s="31">
        <v>1026736</v>
      </c>
      <c r="H5" s="12"/>
      <c r="I5" s="12"/>
      <c r="J5" s="12"/>
      <c r="K5" s="10" t="s">
        <v>47</v>
      </c>
    </row>
    <row r="6" spans="1:11" ht="71.25" customHeight="1" x14ac:dyDescent="0.3">
      <c r="A6" s="8">
        <v>3</v>
      </c>
      <c r="B6" s="9" t="s">
        <v>15</v>
      </c>
      <c r="C6" s="10" t="s">
        <v>28</v>
      </c>
      <c r="D6" s="11"/>
      <c r="E6" s="8" t="s">
        <v>40</v>
      </c>
      <c r="F6" s="12">
        <v>14871183</v>
      </c>
      <c r="G6" s="31">
        <v>7423660</v>
      </c>
      <c r="H6" s="12">
        <v>7447523</v>
      </c>
      <c r="I6" s="12"/>
      <c r="J6" s="12"/>
      <c r="K6" s="14" t="s">
        <v>48</v>
      </c>
    </row>
    <row r="7" spans="1:11" ht="50.25" customHeight="1" x14ac:dyDescent="0.3">
      <c r="A7" s="8">
        <v>4</v>
      </c>
      <c r="B7" s="9" t="s">
        <v>15</v>
      </c>
      <c r="C7" s="10" t="s">
        <v>29</v>
      </c>
      <c r="D7" s="11"/>
      <c r="E7" s="15" t="s">
        <v>39</v>
      </c>
      <c r="F7" s="12">
        <v>1500000</v>
      </c>
      <c r="G7" s="31">
        <v>1500000</v>
      </c>
      <c r="H7" s="12"/>
      <c r="I7" s="12"/>
      <c r="J7" s="12"/>
      <c r="K7" s="10" t="s">
        <v>50</v>
      </c>
    </row>
    <row r="8" spans="1:11" ht="73.5" customHeight="1" x14ac:dyDescent="0.3">
      <c r="A8" s="8">
        <v>5</v>
      </c>
      <c r="B8" s="9" t="s">
        <v>15</v>
      </c>
      <c r="C8" s="10" t="s">
        <v>30</v>
      </c>
      <c r="D8" s="11"/>
      <c r="E8" s="8" t="s">
        <v>40</v>
      </c>
      <c r="F8" s="12">
        <v>10447778</v>
      </c>
      <c r="G8" s="31">
        <v>5223856</v>
      </c>
      <c r="H8" s="12">
        <f>5214922+9000</f>
        <v>5223922</v>
      </c>
      <c r="I8" s="12">
        <v>0</v>
      </c>
      <c r="J8" s="12"/>
      <c r="K8" s="14" t="s">
        <v>51</v>
      </c>
    </row>
    <row r="9" spans="1:11" ht="73.5" customHeight="1" x14ac:dyDescent="0.3">
      <c r="A9" s="8">
        <v>6</v>
      </c>
      <c r="B9" s="9" t="s">
        <v>15</v>
      </c>
      <c r="C9" s="10" t="s">
        <v>31</v>
      </c>
      <c r="D9" s="11"/>
      <c r="E9" s="8" t="s">
        <v>40</v>
      </c>
      <c r="F9" s="12">
        <v>14375733</v>
      </c>
      <c r="G9" s="31">
        <v>7187734</v>
      </c>
      <c r="H9" s="12">
        <v>7187999</v>
      </c>
      <c r="I9" s="12"/>
      <c r="J9" s="12"/>
      <c r="K9" s="14" t="s">
        <v>49</v>
      </c>
    </row>
    <row r="10" spans="1:11" s="1" customFormat="1" ht="85.5" customHeight="1" x14ac:dyDescent="0.3">
      <c r="A10" s="8">
        <v>7</v>
      </c>
      <c r="B10" s="9" t="s">
        <v>16</v>
      </c>
      <c r="C10" s="10" t="s">
        <v>5</v>
      </c>
      <c r="D10" s="16"/>
      <c r="E10" s="8" t="s">
        <v>40</v>
      </c>
      <c r="F10" s="12">
        <v>33962501</v>
      </c>
      <c r="G10" s="31">
        <v>5168766</v>
      </c>
      <c r="H10" s="12">
        <v>15125413</v>
      </c>
      <c r="I10" s="12">
        <f>14974853-4140000</f>
        <v>10834853</v>
      </c>
      <c r="J10" s="12">
        <v>2833469</v>
      </c>
      <c r="K10" s="14" t="s">
        <v>52</v>
      </c>
    </row>
    <row r="11" spans="1:11" ht="39.6" x14ac:dyDescent="0.3">
      <c r="A11" s="8">
        <v>8</v>
      </c>
      <c r="B11" s="9" t="s">
        <v>13</v>
      </c>
      <c r="C11" s="10" t="s">
        <v>32</v>
      </c>
      <c r="D11" s="11"/>
      <c r="E11" s="8" t="s">
        <v>38</v>
      </c>
      <c r="F11" s="12">
        <v>240410</v>
      </c>
      <c r="G11" s="31">
        <v>240410</v>
      </c>
      <c r="H11" s="12"/>
      <c r="I11" s="12"/>
      <c r="J11" s="12"/>
      <c r="K11" s="10" t="s">
        <v>46</v>
      </c>
    </row>
    <row r="12" spans="1:11" ht="54.75" customHeight="1" x14ac:dyDescent="0.3">
      <c r="A12" s="8">
        <v>9</v>
      </c>
      <c r="B12" s="9" t="s">
        <v>13</v>
      </c>
      <c r="C12" s="10" t="s">
        <v>33</v>
      </c>
      <c r="D12" s="11"/>
      <c r="E12" s="8" t="s">
        <v>38</v>
      </c>
      <c r="F12" s="12">
        <v>200000</v>
      </c>
      <c r="G12" s="31">
        <v>200000</v>
      </c>
      <c r="H12" s="12"/>
      <c r="I12" s="12"/>
      <c r="J12" s="12"/>
      <c r="K12" s="10" t="s">
        <v>46</v>
      </c>
    </row>
    <row r="13" spans="1:11" ht="55.5" customHeight="1" x14ac:dyDescent="0.3">
      <c r="A13" s="8">
        <v>10</v>
      </c>
      <c r="B13" s="9" t="s">
        <v>21</v>
      </c>
      <c r="C13" s="10" t="s">
        <v>8</v>
      </c>
      <c r="D13" s="11"/>
      <c r="E13" s="8" t="s">
        <v>40</v>
      </c>
      <c r="F13" s="12">
        <v>37688363</v>
      </c>
      <c r="G13" s="31">
        <v>37688363</v>
      </c>
      <c r="H13" s="12"/>
      <c r="I13" s="12"/>
      <c r="J13" s="12"/>
      <c r="K13" s="10" t="s">
        <v>54</v>
      </c>
    </row>
    <row r="14" spans="1:11" ht="30.75" customHeight="1" x14ac:dyDescent="0.3">
      <c r="A14" s="25"/>
      <c r="B14" s="26" t="s">
        <v>9</v>
      </c>
      <c r="C14" s="27"/>
      <c r="D14" s="28"/>
      <c r="E14" s="29"/>
      <c r="F14" s="30">
        <f>SUM(F4:F13)</f>
        <v>115212039</v>
      </c>
      <c r="G14" s="30">
        <f t="shared" ref="G14:J14" si="0">SUM(G4:G13)</f>
        <v>66558860</v>
      </c>
      <c r="H14" s="30">
        <f t="shared" si="0"/>
        <v>34984857</v>
      </c>
      <c r="I14" s="30">
        <f t="shared" si="0"/>
        <v>10834853</v>
      </c>
      <c r="J14" s="30">
        <f t="shared" si="0"/>
        <v>2833469</v>
      </c>
      <c r="K14" s="13"/>
    </row>
    <row r="15" spans="1:11" x14ac:dyDescent="0.3">
      <c r="C15" s="6"/>
      <c r="G15" s="5"/>
      <c r="H15" s="4"/>
      <c r="I15" s="4"/>
    </row>
    <row r="16" spans="1:11" ht="28.5" customHeight="1" x14ac:dyDescent="0.3">
      <c r="A16" s="36" t="s">
        <v>56</v>
      </c>
      <c r="B16" s="37"/>
      <c r="C16" s="37"/>
      <c r="D16" s="38"/>
      <c r="E16" s="37"/>
      <c r="F16" s="37"/>
      <c r="G16" s="37"/>
      <c r="H16" s="37"/>
      <c r="I16" s="37"/>
      <c r="J16" s="37"/>
      <c r="K16" s="37"/>
    </row>
    <row r="17" spans="7:9" x14ac:dyDescent="0.3">
      <c r="G17" s="4"/>
      <c r="H17" s="4"/>
    </row>
    <row r="18" spans="7:9" x14ac:dyDescent="0.3">
      <c r="G18" s="4"/>
      <c r="H18" s="4"/>
      <c r="I18" s="4"/>
    </row>
    <row r="19" spans="7:9" x14ac:dyDescent="0.3">
      <c r="G19" s="4"/>
      <c r="H19" s="4"/>
      <c r="I19" s="4"/>
    </row>
    <row r="20" spans="7:9" x14ac:dyDescent="0.3">
      <c r="G20" s="4"/>
      <c r="H20" s="4"/>
      <c r="I20" s="4"/>
    </row>
    <row r="21" spans="7:9" x14ac:dyDescent="0.3">
      <c r="G21" s="4"/>
      <c r="H21" s="4"/>
      <c r="I21" s="4"/>
    </row>
    <row r="22" spans="7:9" x14ac:dyDescent="0.3">
      <c r="G22" s="4"/>
      <c r="H22" s="4"/>
      <c r="I22" s="4"/>
    </row>
    <row r="23" spans="7:9" x14ac:dyDescent="0.3">
      <c r="G23" s="4"/>
      <c r="H23" s="4"/>
      <c r="I23" s="4"/>
    </row>
    <row r="24" spans="7:9" x14ac:dyDescent="0.3">
      <c r="G24" s="4"/>
      <c r="H24" s="4"/>
      <c r="I24" s="4"/>
    </row>
    <row r="25" spans="7:9" x14ac:dyDescent="0.3">
      <c r="G25" s="4"/>
      <c r="H25" s="4"/>
      <c r="I25" s="4"/>
    </row>
    <row r="26" spans="7:9" x14ac:dyDescent="0.3">
      <c r="G26" s="4"/>
      <c r="H26" s="4"/>
      <c r="I26" s="4"/>
    </row>
    <row r="27" spans="7:9" x14ac:dyDescent="0.3">
      <c r="G27" s="4"/>
      <c r="H27" s="4"/>
      <c r="I27" s="4"/>
    </row>
    <row r="28" spans="7:9" x14ac:dyDescent="0.3">
      <c r="G28" s="4"/>
      <c r="H28" s="4"/>
      <c r="I28" s="4"/>
    </row>
    <row r="29" spans="7:9" x14ac:dyDescent="0.3">
      <c r="G29" s="4"/>
      <c r="H29" s="4"/>
      <c r="I29" s="4"/>
    </row>
    <row r="30" spans="7:9" x14ac:dyDescent="0.3">
      <c r="G30" s="4"/>
      <c r="H30" s="4"/>
      <c r="I30" s="4"/>
    </row>
    <row r="31" spans="7:9" x14ac:dyDescent="0.3">
      <c r="G31" s="4"/>
      <c r="H31" s="4"/>
      <c r="I31" s="4"/>
    </row>
    <row r="32" spans="7:9" x14ac:dyDescent="0.3">
      <c r="G32" s="4"/>
      <c r="H32" s="4"/>
      <c r="I32" s="4"/>
    </row>
    <row r="33" spans="7:9" x14ac:dyDescent="0.3">
      <c r="G33" s="4"/>
      <c r="H33" s="4"/>
      <c r="I33" s="4"/>
    </row>
    <row r="34" spans="7:9" x14ac:dyDescent="0.3">
      <c r="G34" s="4"/>
      <c r="H34" s="4"/>
      <c r="I34" s="4"/>
    </row>
    <row r="35" spans="7:9" x14ac:dyDescent="0.3">
      <c r="G35" s="4"/>
      <c r="H35" s="4"/>
      <c r="I35" s="4"/>
    </row>
    <row r="36" spans="7:9" x14ac:dyDescent="0.3">
      <c r="G36" s="4"/>
      <c r="H36" s="4"/>
      <c r="I36" s="4"/>
    </row>
    <row r="37" spans="7:9" x14ac:dyDescent="0.3">
      <c r="G37" s="4"/>
      <c r="H37" s="4"/>
      <c r="I37" s="4"/>
    </row>
    <row r="38" spans="7:9" x14ac:dyDescent="0.3">
      <c r="G38" s="4"/>
      <c r="H38" s="4"/>
      <c r="I38" s="4"/>
    </row>
    <row r="39" spans="7:9" x14ac:dyDescent="0.3">
      <c r="G39" s="4"/>
      <c r="H39" s="4"/>
      <c r="I39" s="4"/>
    </row>
    <row r="40" spans="7:9" x14ac:dyDescent="0.3">
      <c r="G40" s="4"/>
      <c r="H40" s="4"/>
      <c r="I40" s="4"/>
    </row>
    <row r="41" spans="7:9" x14ac:dyDescent="0.3">
      <c r="G41" s="4"/>
      <c r="H41" s="4"/>
    </row>
    <row r="42" spans="7:9" x14ac:dyDescent="0.3">
      <c r="G42" s="4"/>
      <c r="H42" s="4"/>
    </row>
    <row r="43" spans="7:9" x14ac:dyDescent="0.3">
      <c r="G43" s="4"/>
      <c r="H43" s="4"/>
    </row>
    <row r="44" spans="7:9" x14ac:dyDescent="0.3">
      <c r="G44" s="4"/>
      <c r="H44" s="4"/>
    </row>
    <row r="45" spans="7:9" x14ac:dyDescent="0.3">
      <c r="G45" s="4"/>
      <c r="H45" s="4"/>
    </row>
    <row r="46" spans="7:9" x14ac:dyDescent="0.3">
      <c r="G46" s="4"/>
      <c r="H46" s="4"/>
    </row>
    <row r="47" spans="7:9" x14ac:dyDescent="0.3">
      <c r="G47" s="4"/>
      <c r="H47" s="4"/>
    </row>
    <row r="48" spans="7:9" x14ac:dyDescent="0.3">
      <c r="G48" s="4"/>
      <c r="H48" s="4"/>
    </row>
    <row r="49" spans="7:8" x14ac:dyDescent="0.3">
      <c r="G49" s="4"/>
      <c r="H49" s="4"/>
    </row>
    <row r="50" spans="7:8" x14ac:dyDescent="0.3">
      <c r="G50" s="4"/>
      <c r="H50" s="4"/>
    </row>
    <row r="51" spans="7:8" x14ac:dyDescent="0.3">
      <c r="G51" s="4"/>
      <c r="H51" s="4"/>
    </row>
    <row r="52" spans="7:8" x14ac:dyDescent="0.3">
      <c r="G52" s="4"/>
      <c r="H52" s="4"/>
    </row>
    <row r="53" spans="7:8" x14ac:dyDescent="0.3">
      <c r="G53" s="4"/>
      <c r="H53" s="4"/>
    </row>
    <row r="54" spans="7:8" x14ac:dyDescent="0.3">
      <c r="G54" s="4"/>
      <c r="H54" s="4"/>
    </row>
    <row r="55" spans="7:8" x14ac:dyDescent="0.3">
      <c r="G55" s="4"/>
      <c r="H55" s="4"/>
    </row>
    <row r="56" spans="7:8" x14ac:dyDescent="0.3">
      <c r="G56" s="4"/>
      <c r="H56" s="4"/>
    </row>
    <row r="57" spans="7:8" x14ac:dyDescent="0.3">
      <c r="G57" s="4"/>
      <c r="H57" s="4"/>
    </row>
    <row r="58" spans="7:8" x14ac:dyDescent="0.3">
      <c r="G58" s="4"/>
      <c r="H58" s="4"/>
    </row>
    <row r="59" spans="7:8" x14ac:dyDescent="0.3">
      <c r="G59" s="4"/>
      <c r="H59" s="4"/>
    </row>
    <row r="60" spans="7:8" x14ac:dyDescent="0.3">
      <c r="G60" s="4"/>
      <c r="H60" s="4"/>
    </row>
    <row r="61" spans="7:8" x14ac:dyDescent="0.3">
      <c r="G61" s="4"/>
      <c r="H61" s="4"/>
    </row>
    <row r="62" spans="7:8" x14ac:dyDescent="0.3">
      <c r="G62" s="4"/>
      <c r="H62" s="4"/>
    </row>
    <row r="63" spans="7:8" x14ac:dyDescent="0.3">
      <c r="G63" s="4"/>
      <c r="H63" s="4"/>
    </row>
    <row r="64" spans="7:8" x14ac:dyDescent="0.3">
      <c r="G64" s="4"/>
      <c r="H64" s="4"/>
    </row>
    <row r="65" spans="7:8" x14ac:dyDescent="0.3">
      <c r="G65" s="4"/>
      <c r="H65" s="4"/>
    </row>
    <row r="66" spans="7:8" x14ac:dyDescent="0.3">
      <c r="G66" s="4"/>
      <c r="H66" s="4"/>
    </row>
    <row r="67" spans="7:8" x14ac:dyDescent="0.3">
      <c r="G67" s="4"/>
      <c r="H67" s="4"/>
    </row>
    <row r="68" spans="7:8" x14ac:dyDescent="0.3">
      <c r="G68" s="4"/>
      <c r="H68" s="4"/>
    </row>
    <row r="69" spans="7:8" x14ac:dyDescent="0.3">
      <c r="G69" s="4"/>
      <c r="H69" s="4"/>
    </row>
    <row r="70" spans="7:8" x14ac:dyDescent="0.3">
      <c r="G70" s="4"/>
      <c r="H70" s="4"/>
    </row>
    <row r="71" spans="7:8" x14ac:dyDescent="0.3">
      <c r="G71" s="4"/>
      <c r="H71" s="4"/>
    </row>
    <row r="72" spans="7:8" x14ac:dyDescent="0.3">
      <c r="G72" s="4"/>
      <c r="H72" s="4"/>
    </row>
    <row r="73" spans="7:8" x14ac:dyDescent="0.3">
      <c r="G73" s="4"/>
      <c r="H73" s="4"/>
    </row>
    <row r="74" spans="7:8" x14ac:dyDescent="0.3">
      <c r="G74" s="4"/>
      <c r="H74" s="4"/>
    </row>
    <row r="75" spans="7:8" x14ac:dyDescent="0.3">
      <c r="G75" s="4"/>
      <c r="H75" s="4"/>
    </row>
    <row r="76" spans="7:8" x14ac:dyDescent="0.3">
      <c r="G76" s="4"/>
      <c r="H76" s="4"/>
    </row>
    <row r="77" spans="7:8" x14ac:dyDescent="0.3">
      <c r="G77" s="4"/>
    </row>
    <row r="78" spans="7:8" x14ac:dyDescent="0.3">
      <c r="G78" s="4"/>
    </row>
    <row r="79" spans="7:8" x14ac:dyDescent="0.3">
      <c r="G79" s="4"/>
    </row>
    <row r="80" spans="7:8" x14ac:dyDescent="0.3">
      <c r="G80" s="4"/>
    </row>
    <row r="81" spans="7:7" x14ac:dyDescent="0.3">
      <c r="G81" s="4"/>
    </row>
    <row r="82" spans="7:7" x14ac:dyDescent="0.3">
      <c r="G82" s="4"/>
    </row>
    <row r="83" spans="7:7" x14ac:dyDescent="0.3">
      <c r="G83" s="4"/>
    </row>
    <row r="84" spans="7:7" x14ac:dyDescent="0.3">
      <c r="G84" s="4"/>
    </row>
    <row r="85" spans="7:7" x14ac:dyDescent="0.3">
      <c r="G85" s="4"/>
    </row>
    <row r="86" spans="7:7" x14ac:dyDescent="0.3">
      <c r="G86" s="4"/>
    </row>
    <row r="87" spans="7:7" x14ac:dyDescent="0.3">
      <c r="G87" s="4"/>
    </row>
    <row r="88" spans="7:7" x14ac:dyDescent="0.3">
      <c r="G88" s="4"/>
    </row>
    <row r="89" spans="7:7" x14ac:dyDescent="0.3">
      <c r="G89" s="4"/>
    </row>
    <row r="90" spans="7:7" x14ac:dyDescent="0.3">
      <c r="G90" s="4"/>
    </row>
    <row r="91" spans="7:7" x14ac:dyDescent="0.3">
      <c r="G91" s="4"/>
    </row>
    <row r="92" spans="7:7" x14ac:dyDescent="0.3">
      <c r="G92" s="4"/>
    </row>
    <row r="93" spans="7:7" x14ac:dyDescent="0.3">
      <c r="G93" s="4"/>
    </row>
    <row r="94" spans="7:7" x14ac:dyDescent="0.3">
      <c r="G94" s="4"/>
    </row>
    <row r="95" spans="7:7" x14ac:dyDescent="0.3">
      <c r="G95" s="4"/>
    </row>
    <row r="96" spans="7:7" x14ac:dyDescent="0.3">
      <c r="G96" s="4"/>
    </row>
    <row r="97" spans="7:7" x14ac:dyDescent="0.3">
      <c r="G97" s="4"/>
    </row>
    <row r="98" spans="7:7" x14ac:dyDescent="0.3">
      <c r="G98" s="4"/>
    </row>
    <row r="99" spans="7:7" x14ac:dyDescent="0.3">
      <c r="G99" s="4"/>
    </row>
    <row r="100" spans="7:7" x14ac:dyDescent="0.3">
      <c r="G100" s="4"/>
    </row>
    <row r="101" spans="7:7" x14ac:dyDescent="0.3">
      <c r="G101" s="4"/>
    </row>
    <row r="102" spans="7:7" x14ac:dyDescent="0.3">
      <c r="G102" s="4"/>
    </row>
    <row r="103" spans="7:7" x14ac:dyDescent="0.3">
      <c r="G103" s="4"/>
    </row>
    <row r="104" spans="7:7" x14ac:dyDescent="0.3">
      <c r="G104" s="4"/>
    </row>
    <row r="105" spans="7:7" x14ac:dyDescent="0.3">
      <c r="G105" s="4"/>
    </row>
    <row r="106" spans="7:7" x14ac:dyDescent="0.3">
      <c r="G106" s="4"/>
    </row>
    <row r="107" spans="7:7" x14ac:dyDescent="0.3">
      <c r="G107" s="4"/>
    </row>
    <row r="108" spans="7:7" x14ac:dyDescent="0.3">
      <c r="G108" s="4"/>
    </row>
    <row r="109" spans="7:7" x14ac:dyDescent="0.3">
      <c r="G109" s="4"/>
    </row>
    <row r="110" spans="7:7" x14ac:dyDescent="0.3">
      <c r="G110" s="4"/>
    </row>
    <row r="111" spans="7:7" x14ac:dyDescent="0.3">
      <c r="G111" s="4"/>
    </row>
    <row r="112" spans="7:7" x14ac:dyDescent="0.3">
      <c r="G112" s="4"/>
    </row>
    <row r="113" spans="7:7" x14ac:dyDescent="0.3">
      <c r="G113" s="4"/>
    </row>
    <row r="114" spans="7:7" x14ac:dyDescent="0.3">
      <c r="G114" s="4"/>
    </row>
    <row r="115" spans="7:7" x14ac:dyDescent="0.3">
      <c r="G115" s="4"/>
    </row>
    <row r="116" spans="7:7" x14ac:dyDescent="0.3">
      <c r="G116" s="4"/>
    </row>
    <row r="117" spans="7:7" x14ac:dyDescent="0.3">
      <c r="G117" s="4"/>
    </row>
    <row r="118" spans="7:7" x14ac:dyDescent="0.3">
      <c r="G118" s="4"/>
    </row>
    <row r="119" spans="7:7" x14ac:dyDescent="0.3">
      <c r="G119" s="4"/>
    </row>
    <row r="120" spans="7:7" x14ac:dyDescent="0.3">
      <c r="G120" s="4"/>
    </row>
    <row r="121" spans="7:7" x14ac:dyDescent="0.3">
      <c r="G121" s="4"/>
    </row>
    <row r="122" spans="7:7" x14ac:dyDescent="0.3">
      <c r="G122" s="4"/>
    </row>
    <row r="123" spans="7:7" x14ac:dyDescent="0.3">
      <c r="G123" s="4"/>
    </row>
    <row r="124" spans="7:7" x14ac:dyDescent="0.3">
      <c r="G124" s="4"/>
    </row>
    <row r="125" spans="7:7" x14ac:dyDescent="0.3">
      <c r="G125" s="4"/>
    </row>
    <row r="126" spans="7:7" x14ac:dyDescent="0.3">
      <c r="G126" s="4"/>
    </row>
    <row r="127" spans="7:7" x14ac:dyDescent="0.3">
      <c r="G127" s="4"/>
    </row>
    <row r="128" spans="7:7" x14ac:dyDescent="0.3">
      <c r="G128" s="4"/>
    </row>
    <row r="129" spans="7:7" x14ac:dyDescent="0.3">
      <c r="G129" s="4"/>
    </row>
    <row r="130" spans="7:7" x14ac:dyDescent="0.3">
      <c r="G130" s="4"/>
    </row>
    <row r="131" spans="7:7" x14ac:dyDescent="0.3">
      <c r="G131" s="4"/>
    </row>
    <row r="132" spans="7:7" x14ac:dyDescent="0.3">
      <c r="G132" s="4"/>
    </row>
    <row r="133" spans="7:7" x14ac:dyDescent="0.3">
      <c r="G133" s="4"/>
    </row>
    <row r="134" spans="7:7" x14ac:dyDescent="0.3">
      <c r="G134" s="4"/>
    </row>
    <row r="135" spans="7:7" x14ac:dyDescent="0.3">
      <c r="G135" s="4"/>
    </row>
    <row r="136" spans="7:7" x14ac:dyDescent="0.3">
      <c r="G136" s="4"/>
    </row>
    <row r="137" spans="7:7" x14ac:dyDescent="0.3">
      <c r="G137" s="4"/>
    </row>
    <row r="138" spans="7:7" x14ac:dyDescent="0.3">
      <c r="G138" s="4"/>
    </row>
    <row r="139" spans="7:7" x14ac:dyDescent="0.3">
      <c r="G139" s="4"/>
    </row>
    <row r="140" spans="7:7" x14ac:dyDescent="0.3">
      <c r="G140" s="4"/>
    </row>
    <row r="141" spans="7:7" x14ac:dyDescent="0.3">
      <c r="G141" s="4"/>
    </row>
    <row r="142" spans="7:7" x14ac:dyDescent="0.3">
      <c r="G142" s="4"/>
    </row>
    <row r="143" spans="7:7" x14ac:dyDescent="0.3">
      <c r="G143" s="4"/>
    </row>
    <row r="144" spans="7:7" x14ac:dyDescent="0.3">
      <c r="G144" s="4"/>
    </row>
    <row r="145" spans="7:7" x14ac:dyDescent="0.3">
      <c r="G145" s="4"/>
    </row>
    <row r="146" spans="7:7" x14ac:dyDescent="0.3">
      <c r="G146" s="4"/>
    </row>
    <row r="147" spans="7:7" x14ac:dyDescent="0.3">
      <c r="G147" s="4"/>
    </row>
    <row r="148" spans="7:7" x14ac:dyDescent="0.3">
      <c r="G148" s="4"/>
    </row>
    <row r="149" spans="7:7" x14ac:dyDescent="0.3">
      <c r="G149" s="4"/>
    </row>
    <row r="150" spans="7:7" x14ac:dyDescent="0.3">
      <c r="G150" s="4"/>
    </row>
    <row r="151" spans="7:7" x14ac:dyDescent="0.3">
      <c r="G151" s="4"/>
    </row>
    <row r="152" spans="7:7" x14ac:dyDescent="0.3">
      <c r="G152" s="4"/>
    </row>
    <row r="153" spans="7:7" x14ac:dyDescent="0.3">
      <c r="G153" s="4"/>
    </row>
    <row r="154" spans="7:7" x14ac:dyDescent="0.3">
      <c r="G154" s="4"/>
    </row>
    <row r="155" spans="7:7" x14ac:dyDescent="0.3">
      <c r="G155" s="4"/>
    </row>
    <row r="156" spans="7:7" x14ac:dyDescent="0.3">
      <c r="G156" s="4"/>
    </row>
    <row r="157" spans="7:7" x14ac:dyDescent="0.3">
      <c r="G157" s="4"/>
    </row>
    <row r="158" spans="7:7" x14ac:dyDescent="0.3">
      <c r="G158" s="4"/>
    </row>
    <row r="159" spans="7:7" x14ac:dyDescent="0.3">
      <c r="G159" s="4"/>
    </row>
    <row r="160" spans="7:7" x14ac:dyDescent="0.3">
      <c r="G160" s="4"/>
    </row>
    <row r="161" spans="7:7" x14ac:dyDescent="0.3">
      <c r="G161" s="4"/>
    </row>
    <row r="162" spans="7:7" x14ac:dyDescent="0.3">
      <c r="G162" s="4"/>
    </row>
    <row r="163" spans="7:7" x14ac:dyDescent="0.3">
      <c r="G163" s="4"/>
    </row>
    <row r="164" spans="7:7" x14ac:dyDescent="0.3">
      <c r="G164" s="4"/>
    </row>
    <row r="165" spans="7:7" x14ac:dyDescent="0.3">
      <c r="G165" s="4"/>
    </row>
    <row r="166" spans="7:7" x14ac:dyDescent="0.3">
      <c r="G166" s="4"/>
    </row>
    <row r="167" spans="7:7" x14ac:dyDescent="0.3">
      <c r="G167" s="4"/>
    </row>
    <row r="168" spans="7:7" x14ac:dyDescent="0.3">
      <c r="G168" s="4"/>
    </row>
    <row r="169" spans="7:7" x14ac:dyDescent="0.3">
      <c r="G169" s="4"/>
    </row>
    <row r="170" spans="7:7" x14ac:dyDescent="0.3">
      <c r="G170" s="4"/>
    </row>
    <row r="171" spans="7:7" x14ac:dyDescent="0.3">
      <c r="G171" s="4"/>
    </row>
    <row r="172" spans="7:7" x14ac:dyDescent="0.3">
      <c r="G172" s="4"/>
    </row>
    <row r="173" spans="7:7" x14ac:dyDescent="0.3">
      <c r="G173" s="4"/>
    </row>
    <row r="174" spans="7:7" x14ac:dyDescent="0.3">
      <c r="G174" s="4"/>
    </row>
    <row r="175" spans="7:7" x14ac:dyDescent="0.3">
      <c r="G175" s="4"/>
    </row>
    <row r="176" spans="7:7" x14ac:dyDescent="0.3">
      <c r="G176" s="4"/>
    </row>
    <row r="177" spans="7:7" x14ac:dyDescent="0.3">
      <c r="G177" s="4"/>
    </row>
    <row r="178" spans="7:7" x14ac:dyDescent="0.3">
      <c r="G178" s="4"/>
    </row>
    <row r="179" spans="7:7" x14ac:dyDescent="0.3">
      <c r="G179" s="4"/>
    </row>
    <row r="180" spans="7:7" x14ac:dyDescent="0.3">
      <c r="G180" s="4"/>
    </row>
    <row r="181" spans="7:7" x14ac:dyDescent="0.3">
      <c r="G181" s="4"/>
    </row>
    <row r="182" spans="7:7" x14ac:dyDescent="0.3">
      <c r="G182" s="4"/>
    </row>
    <row r="183" spans="7:7" x14ac:dyDescent="0.3">
      <c r="G183" s="4"/>
    </row>
    <row r="184" spans="7:7" x14ac:dyDescent="0.3">
      <c r="G184" s="4"/>
    </row>
    <row r="185" spans="7:7" x14ac:dyDescent="0.3">
      <c r="G185" s="4"/>
    </row>
    <row r="186" spans="7:7" x14ac:dyDescent="0.3">
      <c r="G186" s="4"/>
    </row>
    <row r="187" spans="7:7" x14ac:dyDescent="0.3">
      <c r="G187" s="4"/>
    </row>
    <row r="188" spans="7:7" x14ac:dyDescent="0.3">
      <c r="G188" s="4"/>
    </row>
    <row r="189" spans="7:7" x14ac:dyDescent="0.3">
      <c r="G189" s="4"/>
    </row>
    <row r="190" spans="7:7" x14ac:dyDescent="0.3">
      <c r="G190" s="4"/>
    </row>
    <row r="191" spans="7:7" x14ac:dyDescent="0.3">
      <c r="G191" s="4"/>
    </row>
    <row r="192" spans="7:7" x14ac:dyDescent="0.3">
      <c r="G192" s="4"/>
    </row>
    <row r="193" spans="7:7" x14ac:dyDescent="0.3">
      <c r="G193" s="4"/>
    </row>
    <row r="194" spans="7:7" x14ac:dyDescent="0.3">
      <c r="G194" s="4"/>
    </row>
    <row r="195" spans="7:7" x14ac:dyDescent="0.3">
      <c r="G195" s="4"/>
    </row>
    <row r="196" spans="7:7" x14ac:dyDescent="0.3">
      <c r="G196" s="4"/>
    </row>
    <row r="197" spans="7:7" x14ac:dyDescent="0.3">
      <c r="G197" s="4"/>
    </row>
    <row r="198" spans="7:7" x14ac:dyDescent="0.3">
      <c r="G198" s="4"/>
    </row>
    <row r="199" spans="7:7" x14ac:dyDescent="0.3">
      <c r="G199" s="4"/>
    </row>
    <row r="200" spans="7:7" x14ac:dyDescent="0.3">
      <c r="G200" s="4"/>
    </row>
    <row r="201" spans="7:7" x14ac:dyDescent="0.3">
      <c r="G201" s="4"/>
    </row>
    <row r="202" spans="7:7" x14ac:dyDescent="0.3">
      <c r="G202" s="4"/>
    </row>
    <row r="203" spans="7:7" x14ac:dyDescent="0.3">
      <c r="G203" s="4"/>
    </row>
    <row r="204" spans="7:7" x14ac:dyDescent="0.3">
      <c r="G204" s="4"/>
    </row>
    <row r="205" spans="7:7" x14ac:dyDescent="0.3">
      <c r="G205" s="4"/>
    </row>
    <row r="206" spans="7:7" x14ac:dyDescent="0.3">
      <c r="G206" s="4"/>
    </row>
    <row r="207" spans="7:7" x14ac:dyDescent="0.3">
      <c r="G207" s="4"/>
    </row>
    <row r="208" spans="7:7" x14ac:dyDescent="0.3">
      <c r="G208" s="4"/>
    </row>
    <row r="209" spans="7:7" x14ac:dyDescent="0.3">
      <c r="G209" s="4"/>
    </row>
    <row r="210" spans="7:7" x14ac:dyDescent="0.3">
      <c r="G210" s="4"/>
    </row>
    <row r="211" spans="7:7" x14ac:dyDescent="0.3">
      <c r="G211" s="4"/>
    </row>
    <row r="212" spans="7:7" x14ac:dyDescent="0.3">
      <c r="G212" s="4"/>
    </row>
    <row r="213" spans="7:7" x14ac:dyDescent="0.3">
      <c r="G213" s="4"/>
    </row>
    <row r="214" spans="7:7" x14ac:dyDescent="0.3">
      <c r="G214" s="4"/>
    </row>
    <row r="215" spans="7:7" x14ac:dyDescent="0.3">
      <c r="G215" s="4"/>
    </row>
    <row r="216" spans="7:7" x14ac:dyDescent="0.3">
      <c r="G216" s="4"/>
    </row>
    <row r="217" spans="7:7" x14ac:dyDescent="0.3">
      <c r="G217" s="4"/>
    </row>
    <row r="218" spans="7:7" x14ac:dyDescent="0.3">
      <c r="G218" s="4"/>
    </row>
    <row r="219" spans="7:7" x14ac:dyDescent="0.3">
      <c r="G219" s="4"/>
    </row>
    <row r="220" spans="7:7" x14ac:dyDescent="0.3">
      <c r="G220" s="4"/>
    </row>
    <row r="221" spans="7:7" x14ac:dyDescent="0.3">
      <c r="G221" s="4"/>
    </row>
    <row r="222" spans="7:7" x14ac:dyDescent="0.3">
      <c r="G222" s="4"/>
    </row>
    <row r="223" spans="7:7" x14ac:dyDescent="0.3">
      <c r="G223" s="4"/>
    </row>
    <row r="224" spans="7:7" x14ac:dyDescent="0.3">
      <c r="G224" s="4"/>
    </row>
    <row r="225" spans="7:7" x14ac:dyDescent="0.3">
      <c r="G225" s="4"/>
    </row>
    <row r="226" spans="7:7" x14ac:dyDescent="0.3">
      <c r="G226" s="4"/>
    </row>
    <row r="227" spans="7:7" x14ac:dyDescent="0.3">
      <c r="G227" s="4"/>
    </row>
    <row r="228" spans="7:7" x14ac:dyDescent="0.3">
      <c r="G228" s="4"/>
    </row>
    <row r="229" spans="7:7" x14ac:dyDescent="0.3">
      <c r="G229" s="4"/>
    </row>
    <row r="230" spans="7:7" x14ac:dyDescent="0.3">
      <c r="G230" s="4"/>
    </row>
    <row r="231" spans="7:7" x14ac:dyDescent="0.3">
      <c r="G231" s="4"/>
    </row>
    <row r="232" spans="7:7" x14ac:dyDescent="0.3">
      <c r="G232" s="4"/>
    </row>
    <row r="233" spans="7:7" x14ac:dyDescent="0.3">
      <c r="G233" s="4"/>
    </row>
    <row r="234" spans="7:7" x14ac:dyDescent="0.3">
      <c r="G234" s="4"/>
    </row>
    <row r="235" spans="7:7" x14ac:dyDescent="0.3">
      <c r="G235" s="4"/>
    </row>
    <row r="236" spans="7:7" x14ac:dyDescent="0.3">
      <c r="G236" s="4"/>
    </row>
    <row r="237" spans="7:7" x14ac:dyDescent="0.3">
      <c r="G237" s="4"/>
    </row>
    <row r="238" spans="7:7" x14ac:dyDescent="0.3">
      <c r="G238" s="4"/>
    </row>
    <row r="239" spans="7:7" x14ac:dyDescent="0.3">
      <c r="G239" s="4"/>
    </row>
    <row r="240" spans="7:7" x14ac:dyDescent="0.3">
      <c r="G240" s="4"/>
    </row>
    <row r="241" spans="7:7" x14ac:dyDescent="0.3">
      <c r="G241" s="4"/>
    </row>
    <row r="242" spans="7:7" x14ac:dyDescent="0.3">
      <c r="G242" s="4"/>
    </row>
    <row r="243" spans="7:7" x14ac:dyDescent="0.3">
      <c r="G243" s="4"/>
    </row>
    <row r="244" spans="7:7" x14ac:dyDescent="0.3">
      <c r="G244" s="4"/>
    </row>
    <row r="245" spans="7:7" x14ac:dyDescent="0.3">
      <c r="G245" s="4"/>
    </row>
    <row r="246" spans="7:7" x14ac:dyDescent="0.3">
      <c r="G246" s="4"/>
    </row>
    <row r="247" spans="7:7" x14ac:dyDescent="0.3">
      <c r="G247" s="4"/>
    </row>
    <row r="248" spans="7:7" x14ac:dyDescent="0.3">
      <c r="G248" s="4"/>
    </row>
    <row r="249" spans="7:7" x14ac:dyDescent="0.3">
      <c r="G249" s="4"/>
    </row>
    <row r="250" spans="7:7" x14ac:dyDescent="0.3">
      <c r="G250" s="4"/>
    </row>
    <row r="251" spans="7:7" x14ac:dyDescent="0.3">
      <c r="G251" s="4"/>
    </row>
    <row r="252" spans="7:7" x14ac:dyDescent="0.3">
      <c r="G252" s="4"/>
    </row>
    <row r="253" spans="7:7" x14ac:dyDescent="0.3">
      <c r="G253" s="4"/>
    </row>
    <row r="254" spans="7:7" x14ac:dyDescent="0.3">
      <c r="G254" s="4"/>
    </row>
    <row r="255" spans="7:7" x14ac:dyDescent="0.3">
      <c r="G255" s="4"/>
    </row>
    <row r="256" spans="7:7" x14ac:dyDescent="0.3">
      <c r="G256" s="4"/>
    </row>
    <row r="257" spans="7:7" x14ac:dyDescent="0.3">
      <c r="G257" s="4"/>
    </row>
    <row r="258" spans="7:7" x14ac:dyDescent="0.3">
      <c r="G258" s="4"/>
    </row>
    <row r="259" spans="7:7" x14ac:dyDescent="0.3">
      <c r="G259" s="4"/>
    </row>
    <row r="260" spans="7:7" x14ac:dyDescent="0.3">
      <c r="G260" s="4"/>
    </row>
    <row r="261" spans="7:7" x14ac:dyDescent="0.3">
      <c r="G261" s="4"/>
    </row>
    <row r="262" spans="7:7" x14ac:dyDescent="0.3">
      <c r="G262" s="4"/>
    </row>
    <row r="263" spans="7:7" x14ac:dyDescent="0.3">
      <c r="G263" s="4"/>
    </row>
    <row r="264" spans="7:7" x14ac:dyDescent="0.3">
      <c r="G264" s="4"/>
    </row>
    <row r="265" spans="7:7" x14ac:dyDescent="0.3">
      <c r="G265" s="4"/>
    </row>
    <row r="266" spans="7:7" x14ac:dyDescent="0.3">
      <c r="G266" s="4"/>
    </row>
    <row r="267" spans="7:7" x14ac:dyDescent="0.3">
      <c r="G267" s="4"/>
    </row>
    <row r="268" spans="7:7" x14ac:dyDescent="0.3">
      <c r="G268" s="4"/>
    </row>
    <row r="269" spans="7:7" x14ac:dyDescent="0.3">
      <c r="G269" s="4"/>
    </row>
    <row r="270" spans="7:7" x14ac:dyDescent="0.3">
      <c r="G270" s="4"/>
    </row>
    <row r="271" spans="7:7" x14ac:dyDescent="0.3">
      <c r="G271" s="4"/>
    </row>
    <row r="272" spans="7:7" x14ac:dyDescent="0.3">
      <c r="G272" s="4"/>
    </row>
    <row r="273" spans="7:7" x14ac:dyDescent="0.3">
      <c r="G273" s="4"/>
    </row>
    <row r="274" spans="7:7" x14ac:dyDescent="0.3">
      <c r="G274" s="4"/>
    </row>
    <row r="275" spans="7:7" x14ac:dyDescent="0.3">
      <c r="G275" s="4"/>
    </row>
    <row r="276" spans="7:7" x14ac:dyDescent="0.3">
      <c r="G276" s="4"/>
    </row>
    <row r="277" spans="7:7" x14ac:dyDescent="0.3">
      <c r="G277" s="4"/>
    </row>
    <row r="278" spans="7:7" x14ac:dyDescent="0.3">
      <c r="G278" s="4"/>
    </row>
    <row r="279" spans="7:7" x14ac:dyDescent="0.3">
      <c r="G279" s="4"/>
    </row>
    <row r="280" spans="7:7" x14ac:dyDescent="0.3">
      <c r="G280" s="4"/>
    </row>
    <row r="281" spans="7:7" x14ac:dyDescent="0.3">
      <c r="G281" s="4"/>
    </row>
    <row r="282" spans="7:7" x14ac:dyDescent="0.3">
      <c r="G282" s="4"/>
    </row>
    <row r="283" spans="7:7" x14ac:dyDescent="0.3">
      <c r="G283" s="4"/>
    </row>
    <row r="284" spans="7:7" x14ac:dyDescent="0.3">
      <c r="G284" s="4"/>
    </row>
    <row r="285" spans="7:7" x14ac:dyDescent="0.3">
      <c r="G285" s="4"/>
    </row>
    <row r="286" spans="7:7" x14ac:dyDescent="0.3">
      <c r="G286" s="4"/>
    </row>
    <row r="287" spans="7:7" x14ac:dyDescent="0.3">
      <c r="G287" s="4"/>
    </row>
    <row r="288" spans="7:7" x14ac:dyDescent="0.3">
      <c r="G288" s="4"/>
    </row>
    <row r="289" spans="7:7" x14ac:dyDescent="0.3">
      <c r="G289" s="4"/>
    </row>
    <row r="290" spans="7:7" x14ac:dyDescent="0.3">
      <c r="G290" s="4"/>
    </row>
    <row r="291" spans="7:7" x14ac:dyDescent="0.3">
      <c r="G291" s="4"/>
    </row>
    <row r="292" spans="7:7" x14ac:dyDescent="0.3">
      <c r="G292" s="4"/>
    </row>
    <row r="293" spans="7:7" x14ac:dyDescent="0.3">
      <c r="G293" s="4"/>
    </row>
    <row r="294" spans="7:7" x14ac:dyDescent="0.3">
      <c r="G294" s="4"/>
    </row>
    <row r="295" spans="7:7" x14ac:dyDescent="0.3">
      <c r="G295" s="4"/>
    </row>
    <row r="296" spans="7:7" x14ac:dyDescent="0.3">
      <c r="G296" s="4"/>
    </row>
    <row r="297" spans="7:7" x14ac:dyDescent="0.3">
      <c r="G297" s="4"/>
    </row>
    <row r="298" spans="7:7" x14ac:dyDescent="0.3">
      <c r="G298" s="4"/>
    </row>
    <row r="299" spans="7:7" x14ac:dyDescent="0.3">
      <c r="G299" s="4"/>
    </row>
    <row r="300" spans="7:7" x14ac:dyDescent="0.3">
      <c r="G300" s="4"/>
    </row>
    <row r="301" spans="7:7" x14ac:dyDescent="0.3">
      <c r="G301" s="4"/>
    </row>
    <row r="302" spans="7:7" x14ac:dyDescent="0.3">
      <c r="G302" s="4"/>
    </row>
    <row r="303" spans="7:7" x14ac:dyDescent="0.3">
      <c r="G303" s="4"/>
    </row>
    <row r="304" spans="7:7" x14ac:dyDescent="0.3">
      <c r="G304" s="4"/>
    </row>
    <row r="305" spans="7:7" x14ac:dyDescent="0.3">
      <c r="G305" s="4"/>
    </row>
    <row r="306" spans="7:7" x14ac:dyDescent="0.3">
      <c r="G306" s="4"/>
    </row>
    <row r="307" spans="7:7" x14ac:dyDescent="0.3">
      <c r="G307" s="4"/>
    </row>
    <row r="308" spans="7:7" x14ac:dyDescent="0.3">
      <c r="G308" s="4"/>
    </row>
    <row r="309" spans="7:7" x14ac:dyDescent="0.3">
      <c r="G309" s="4"/>
    </row>
    <row r="310" spans="7:7" x14ac:dyDescent="0.3">
      <c r="G310" s="4"/>
    </row>
    <row r="311" spans="7:7" x14ac:dyDescent="0.3">
      <c r="G311" s="4"/>
    </row>
    <row r="312" spans="7:7" x14ac:dyDescent="0.3">
      <c r="G312" s="4"/>
    </row>
    <row r="313" spans="7:7" x14ac:dyDescent="0.3">
      <c r="G313" s="4"/>
    </row>
    <row r="314" spans="7:7" x14ac:dyDescent="0.3">
      <c r="G314" s="4"/>
    </row>
    <row r="315" spans="7:7" x14ac:dyDescent="0.3">
      <c r="G315" s="4"/>
    </row>
    <row r="316" spans="7:7" x14ac:dyDescent="0.3">
      <c r="G316" s="4"/>
    </row>
    <row r="317" spans="7:7" x14ac:dyDescent="0.3">
      <c r="G317" s="4"/>
    </row>
    <row r="318" spans="7:7" x14ac:dyDescent="0.3">
      <c r="G318" s="4"/>
    </row>
    <row r="319" spans="7:7" x14ac:dyDescent="0.3">
      <c r="G319" s="4"/>
    </row>
    <row r="320" spans="7:7" x14ac:dyDescent="0.3">
      <c r="G320" s="4"/>
    </row>
    <row r="321" spans="7:7" x14ac:dyDescent="0.3">
      <c r="G321" s="4"/>
    </row>
    <row r="322" spans="7:7" x14ac:dyDescent="0.3">
      <c r="G322" s="4"/>
    </row>
    <row r="323" spans="7:7" x14ac:dyDescent="0.3">
      <c r="G323" s="4"/>
    </row>
    <row r="324" spans="7:7" x14ac:dyDescent="0.3">
      <c r="G324" s="4"/>
    </row>
    <row r="325" spans="7:7" x14ac:dyDescent="0.3">
      <c r="G325" s="4"/>
    </row>
    <row r="326" spans="7:7" x14ac:dyDescent="0.3">
      <c r="G326" s="4"/>
    </row>
    <row r="327" spans="7:7" x14ac:dyDescent="0.3">
      <c r="G327" s="4"/>
    </row>
    <row r="328" spans="7:7" x14ac:dyDescent="0.3">
      <c r="G328" s="4"/>
    </row>
    <row r="329" spans="7:7" x14ac:dyDescent="0.3">
      <c r="G329" s="4"/>
    </row>
    <row r="330" spans="7:7" x14ac:dyDescent="0.3">
      <c r="G330" s="4"/>
    </row>
    <row r="331" spans="7:7" x14ac:dyDescent="0.3">
      <c r="G331" s="4"/>
    </row>
    <row r="332" spans="7:7" x14ac:dyDescent="0.3">
      <c r="G332" s="4"/>
    </row>
    <row r="333" spans="7:7" x14ac:dyDescent="0.3">
      <c r="G333" s="4"/>
    </row>
    <row r="334" spans="7:7" x14ac:dyDescent="0.3">
      <c r="G334" s="4"/>
    </row>
    <row r="335" spans="7:7" x14ac:dyDescent="0.3">
      <c r="G335" s="4"/>
    </row>
    <row r="336" spans="7:7" x14ac:dyDescent="0.3">
      <c r="G336" s="4"/>
    </row>
    <row r="337" spans="7:7" x14ac:dyDescent="0.3">
      <c r="G337" s="4"/>
    </row>
    <row r="338" spans="7:7" x14ac:dyDescent="0.3">
      <c r="G338" s="4"/>
    </row>
    <row r="339" spans="7:7" x14ac:dyDescent="0.3">
      <c r="G339" s="4"/>
    </row>
    <row r="340" spans="7:7" x14ac:dyDescent="0.3">
      <c r="G340" s="4"/>
    </row>
    <row r="341" spans="7:7" x14ac:dyDescent="0.3">
      <c r="G341" s="4"/>
    </row>
    <row r="342" spans="7:7" x14ac:dyDescent="0.3">
      <c r="G342" s="4"/>
    </row>
    <row r="343" spans="7:7" x14ac:dyDescent="0.3">
      <c r="G343" s="4"/>
    </row>
    <row r="344" spans="7:7" x14ac:dyDescent="0.3">
      <c r="G344" s="4"/>
    </row>
    <row r="345" spans="7:7" x14ac:dyDescent="0.3">
      <c r="G345" s="4"/>
    </row>
    <row r="346" spans="7:7" x14ac:dyDescent="0.3">
      <c r="G346" s="4"/>
    </row>
    <row r="347" spans="7:7" x14ac:dyDescent="0.3">
      <c r="G347" s="4"/>
    </row>
    <row r="348" spans="7:7" x14ac:dyDescent="0.3">
      <c r="G348" s="4"/>
    </row>
    <row r="349" spans="7:7" x14ac:dyDescent="0.3">
      <c r="G349" s="4"/>
    </row>
    <row r="350" spans="7:7" x14ac:dyDescent="0.3">
      <c r="G350" s="4"/>
    </row>
    <row r="351" spans="7:7" x14ac:dyDescent="0.3">
      <c r="G351" s="4"/>
    </row>
    <row r="352" spans="7:7" x14ac:dyDescent="0.3">
      <c r="G352" s="4"/>
    </row>
    <row r="353" spans="7:7" x14ac:dyDescent="0.3">
      <c r="G353" s="4"/>
    </row>
    <row r="354" spans="7:7" x14ac:dyDescent="0.3">
      <c r="G354" s="4"/>
    </row>
    <row r="355" spans="7:7" x14ac:dyDescent="0.3">
      <c r="G355" s="4"/>
    </row>
    <row r="356" spans="7:7" x14ac:dyDescent="0.3">
      <c r="G356" s="4"/>
    </row>
    <row r="357" spans="7:7" x14ac:dyDescent="0.3">
      <c r="G357" s="4"/>
    </row>
    <row r="358" spans="7:7" x14ac:dyDescent="0.3">
      <c r="G358" s="4"/>
    </row>
    <row r="359" spans="7:7" x14ac:dyDescent="0.3">
      <c r="G359" s="4"/>
    </row>
    <row r="360" spans="7:7" x14ac:dyDescent="0.3">
      <c r="G360" s="4"/>
    </row>
    <row r="361" spans="7:7" x14ac:dyDescent="0.3">
      <c r="G361" s="4"/>
    </row>
    <row r="362" spans="7:7" x14ac:dyDescent="0.3">
      <c r="G362" s="4"/>
    </row>
    <row r="363" spans="7:7" x14ac:dyDescent="0.3">
      <c r="G363" s="4"/>
    </row>
    <row r="364" spans="7:7" x14ac:dyDescent="0.3">
      <c r="G364" s="4"/>
    </row>
    <row r="365" spans="7:7" x14ac:dyDescent="0.3">
      <c r="G365" s="4"/>
    </row>
    <row r="366" spans="7:7" x14ac:dyDescent="0.3">
      <c r="G366" s="4"/>
    </row>
    <row r="367" spans="7:7" x14ac:dyDescent="0.3">
      <c r="G367" s="4"/>
    </row>
    <row r="368" spans="7:7" x14ac:dyDescent="0.3">
      <c r="G368" s="4"/>
    </row>
    <row r="369" spans="7:7" x14ac:dyDescent="0.3">
      <c r="G369" s="4"/>
    </row>
    <row r="370" spans="7:7" x14ac:dyDescent="0.3">
      <c r="G370" s="4"/>
    </row>
    <row r="371" spans="7:7" x14ac:dyDescent="0.3">
      <c r="G371" s="4"/>
    </row>
    <row r="372" spans="7:7" x14ac:dyDescent="0.3">
      <c r="G372" s="4"/>
    </row>
    <row r="373" spans="7:7" x14ac:dyDescent="0.3">
      <c r="G373" s="4"/>
    </row>
    <row r="374" spans="7:7" x14ac:dyDescent="0.3">
      <c r="G374" s="4"/>
    </row>
    <row r="375" spans="7:7" x14ac:dyDescent="0.3">
      <c r="G375" s="4"/>
    </row>
    <row r="376" spans="7:7" x14ac:dyDescent="0.3">
      <c r="G376" s="4"/>
    </row>
    <row r="377" spans="7:7" x14ac:dyDescent="0.3">
      <c r="G377" s="4"/>
    </row>
    <row r="378" spans="7:7" x14ac:dyDescent="0.3">
      <c r="G378" s="4"/>
    </row>
    <row r="379" spans="7:7" x14ac:dyDescent="0.3">
      <c r="G379" s="4"/>
    </row>
    <row r="380" spans="7:7" x14ac:dyDescent="0.3">
      <c r="G380" s="4"/>
    </row>
    <row r="381" spans="7:7" x14ac:dyDescent="0.3">
      <c r="G381" s="4"/>
    </row>
    <row r="382" spans="7:7" x14ac:dyDescent="0.3">
      <c r="G382" s="4"/>
    </row>
    <row r="383" spans="7:7" x14ac:dyDescent="0.3">
      <c r="G383" s="4"/>
    </row>
    <row r="384" spans="7:7" x14ac:dyDescent="0.3">
      <c r="G384" s="4"/>
    </row>
    <row r="385" spans="7:7" x14ac:dyDescent="0.3">
      <c r="G385" s="4"/>
    </row>
    <row r="386" spans="7:7" x14ac:dyDescent="0.3">
      <c r="G386" s="4"/>
    </row>
    <row r="387" spans="7:7" x14ac:dyDescent="0.3">
      <c r="G387" s="4"/>
    </row>
    <row r="388" spans="7:7" x14ac:dyDescent="0.3">
      <c r="G388" s="4"/>
    </row>
    <row r="389" spans="7:7" x14ac:dyDescent="0.3">
      <c r="G389" s="4"/>
    </row>
    <row r="390" spans="7:7" x14ac:dyDescent="0.3">
      <c r="G390" s="4"/>
    </row>
    <row r="391" spans="7:7" x14ac:dyDescent="0.3">
      <c r="G391" s="4"/>
    </row>
    <row r="392" spans="7:7" x14ac:dyDescent="0.3">
      <c r="G392" s="4"/>
    </row>
    <row r="393" spans="7:7" x14ac:dyDescent="0.3">
      <c r="G393" s="4"/>
    </row>
    <row r="394" spans="7:7" x14ac:dyDescent="0.3">
      <c r="G394" s="4"/>
    </row>
    <row r="395" spans="7:7" x14ac:dyDescent="0.3">
      <c r="G395" s="4"/>
    </row>
    <row r="396" spans="7:7" x14ac:dyDescent="0.3">
      <c r="G396" s="4"/>
    </row>
    <row r="397" spans="7:7" x14ac:dyDescent="0.3">
      <c r="G397" s="4"/>
    </row>
    <row r="398" spans="7:7" x14ac:dyDescent="0.3">
      <c r="G398" s="4"/>
    </row>
    <row r="399" spans="7:7" x14ac:dyDescent="0.3">
      <c r="G399" s="4"/>
    </row>
    <row r="400" spans="7:7" x14ac:dyDescent="0.3">
      <c r="G400" s="4"/>
    </row>
    <row r="401" spans="7:7" x14ac:dyDescent="0.3">
      <c r="G401" s="4"/>
    </row>
    <row r="402" spans="7:7" x14ac:dyDescent="0.3">
      <c r="G402" s="4"/>
    </row>
    <row r="403" spans="7:7" x14ac:dyDescent="0.3">
      <c r="G403" s="4"/>
    </row>
    <row r="404" spans="7:7" x14ac:dyDescent="0.3">
      <c r="G404" s="4"/>
    </row>
    <row r="405" spans="7:7" x14ac:dyDescent="0.3">
      <c r="G405" s="4"/>
    </row>
    <row r="406" spans="7:7" x14ac:dyDescent="0.3">
      <c r="G406" s="4"/>
    </row>
    <row r="407" spans="7:7" x14ac:dyDescent="0.3">
      <c r="G407" s="4"/>
    </row>
    <row r="408" spans="7:7" x14ac:dyDescent="0.3">
      <c r="G408" s="4"/>
    </row>
    <row r="409" spans="7:7" x14ac:dyDescent="0.3">
      <c r="G409" s="4"/>
    </row>
    <row r="410" spans="7:7" x14ac:dyDescent="0.3">
      <c r="G410" s="4"/>
    </row>
    <row r="411" spans="7:7" x14ac:dyDescent="0.3">
      <c r="G411" s="4"/>
    </row>
    <row r="412" spans="7:7" x14ac:dyDescent="0.3">
      <c r="G412" s="4"/>
    </row>
    <row r="413" spans="7:7" x14ac:dyDescent="0.3">
      <c r="G413" s="4"/>
    </row>
    <row r="414" spans="7:7" x14ac:dyDescent="0.3">
      <c r="G414" s="4"/>
    </row>
    <row r="415" spans="7:7" x14ac:dyDescent="0.3">
      <c r="G415" s="4"/>
    </row>
    <row r="416" spans="7:7" x14ac:dyDescent="0.3">
      <c r="G416" s="4"/>
    </row>
    <row r="417" spans="7:7" x14ac:dyDescent="0.3">
      <c r="G417" s="4"/>
    </row>
    <row r="418" spans="7:7" x14ac:dyDescent="0.3">
      <c r="G418" s="4"/>
    </row>
    <row r="419" spans="7:7" x14ac:dyDescent="0.3">
      <c r="G419" s="4"/>
    </row>
    <row r="420" spans="7:7" x14ac:dyDescent="0.3">
      <c r="G420" s="4"/>
    </row>
    <row r="421" spans="7:7" x14ac:dyDescent="0.3">
      <c r="G421" s="4"/>
    </row>
    <row r="422" spans="7:7" x14ac:dyDescent="0.3">
      <c r="G422" s="4"/>
    </row>
    <row r="423" spans="7:7" x14ac:dyDescent="0.3">
      <c r="G423" s="4"/>
    </row>
    <row r="424" spans="7:7" x14ac:dyDescent="0.3">
      <c r="G424" s="4"/>
    </row>
    <row r="425" spans="7:7" x14ac:dyDescent="0.3">
      <c r="G425" s="4"/>
    </row>
    <row r="426" spans="7:7" x14ac:dyDescent="0.3">
      <c r="G426" s="4"/>
    </row>
    <row r="427" spans="7:7" x14ac:dyDescent="0.3">
      <c r="G427" s="4"/>
    </row>
    <row r="428" spans="7:7" x14ac:dyDescent="0.3">
      <c r="G428" s="4"/>
    </row>
    <row r="429" spans="7:7" x14ac:dyDescent="0.3">
      <c r="G429" s="4"/>
    </row>
    <row r="430" spans="7:7" x14ac:dyDescent="0.3">
      <c r="G430" s="4"/>
    </row>
    <row r="431" spans="7:7" x14ac:dyDescent="0.3">
      <c r="G431" s="4"/>
    </row>
    <row r="432" spans="7:7" x14ac:dyDescent="0.3">
      <c r="G432" s="4"/>
    </row>
    <row r="433" spans="7:7" x14ac:dyDescent="0.3">
      <c r="G433" s="4"/>
    </row>
    <row r="434" spans="7:7" x14ac:dyDescent="0.3">
      <c r="G434" s="4"/>
    </row>
    <row r="435" spans="7:7" x14ac:dyDescent="0.3">
      <c r="G435" s="4"/>
    </row>
    <row r="436" spans="7:7" x14ac:dyDescent="0.3">
      <c r="G436" s="4"/>
    </row>
    <row r="437" spans="7:7" x14ac:dyDescent="0.3">
      <c r="G437" s="4"/>
    </row>
    <row r="438" spans="7:7" x14ac:dyDescent="0.3">
      <c r="G438" s="4"/>
    </row>
    <row r="439" spans="7:7" x14ac:dyDescent="0.3">
      <c r="G439" s="4"/>
    </row>
    <row r="440" spans="7:7" x14ac:dyDescent="0.3">
      <c r="G440" s="4"/>
    </row>
    <row r="441" spans="7:7" x14ac:dyDescent="0.3">
      <c r="G441" s="4"/>
    </row>
    <row r="442" spans="7:7" x14ac:dyDescent="0.3">
      <c r="G442" s="4"/>
    </row>
    <row r="443" spans="7:7" x14ac:dyDescent="0.3">
      <c r="G443" s="4"/>
    </row>
    <row r="444" spans="7:7" x14ac:dyDescent="0.3">
      <c r="G444" s="4"/>
    </row>
    <row r="445" spans="7:7" x14ac:dyDescent="0.3">
      <c r="G445" s="4"/>
    </row>
    <row r="446" spans="7:7" x14ac:dyDescent="0.3">
      <c r="G446" s="4"/>
    </row>
    <row r="447" spans="7:7" x14ac:dyDescent="0.3">
      <c r="G447" s="4"/>
    </row>
    <row r="448" spans="7:7" x14ac:dyDescent="0.3">
      <c r="G448" s="4"/>
    </row>
    <row r="449" spans="7:7" x14ac:dyDescent="0.3">
      <c r="G449" s="4"/>
    </row>
    <row r="450" spans="7:7" x14ac:dyDescent="0.3">
      <c r="G450" s="4"/>
    </row>
    <row r="451" spans="7:7" x14ac:dyDescent="0.3">
      <c r="G451" s="4"/>
    </row>
    <row r="452" spans="7:7" x14ac:dyDescent="0.3">
      <c r="G452" s="4"/>
    </row>
    <row r="453" spans="7:7" x14ac:dyDescent="0.3">
      <c r="G453" s="4"/>
    </row>
    <row r="454" spans="7:7" x14ac:dyDescent="0.3">
      <c r="G454" s="4"/>
    </row>
    <row r="455" spans="7:7" x14ac:dyDescent="0.3">
      <c r="G455" s="4"/>
    </row>
    <row r="456" spans="7:7" x14ac:dyDescent="0.3">
      <c r="G456" s="4"/>
    </row>
    <row r="457" spans="7:7" x14ac:dyDescent="0.3">
      <c r="G457" s="4"/>
    </row>
    <row r="458" spans="7:7" x14ac:dyDescent="0.3">
      <c r="G458" s="4"/>
    </row>
    <row r="459" spans="7:7" x14ac:dyDescent="0.3">
      <c r="G459" s="4"/>
    </row>
    <row r="460" spans="7:7" x14ac:dyDescent="0.3">
      <c r="G460" s="4"/>
    </row>
    <row r="461" spans="7:7" x14ac:dyDescent="0.3">
      <c r="G461" s="4"/>
    </row>
    <row r="462" spans="7:7" x14ac:dyDescent="0.3">
      <c r="G462" s="4"/>
    </row>
    <row r="463" spans="7:7" x14ac:dyDescent="0.3">
      <c r="G463" s="4"/>
    </row>
    <row r="464" spans="7:7" x14ac:dyDescent="0.3">
      <c r="G464" s="4"/>
    </row>
    <row r="465" spans="7:7" x14ac:dyDescent="0.3">
      <c r="G465" s="4"/>
    </row>
    <row r="466" spans="7:7" x14ac:dyDescent="0.3">
      <c r="G466" s="4"/>
    </row>
    <row r="467" spans="7:7" x14ac:dyDescent="0.3">
      <c r="G467" s="4"/>
    </row>
    <row r="468" spans="7:7" x14ac:dyDescent="0.3">
      <c r="G468" s="4"/>
    </row>
    <row r="469" spans="7:7" x14ac:dyDescent="0.3">
      <c r="G469" s="4"/>
    </row>
    <row r="470" spans="7:7" x14ac:dyDescent="0.3">
      <c r="G470" s="4"/>
    </row>
    <row r="471" spans="7:7" x14ac:dyDescent="0.3">
      <c r="G471" s="4"/>
    </row>
    <row r="472" spans="7:7" x14ac:dyDescent="0.3">
      <c r="G472" s="4"/>
    </row>
    <row r="473" spans="7:7" x14ac:dyDescent="0.3">
      <c r="G473" s="4"/>
    </row>
    <row r="474" spans="7:7" x14ac:dyDescent="0.3">
      <c r="G474" s="4"/>
    </row>
    <row r="475" spans="7:7" x14ac:dyDescent="0.3">
      <c r="G475" s="4"/>
    </row>
    <row r="476" spans="7:7" x14ac:dyDescent="0.3">
      <c r="G476" s="4"/>
    </row>
    <row r="477" spans="7:7" x14ac:dyDescent="0.3">
      <c r="G477" s="4"/>
    </row>
    <row r="478" spans="7:7" x14ac:dyDescent="0.3">
      <c r="G478" s="4"/>
    </row>
    <row r="479" spans="7:7" x14ac:dyDescent="0.3">
      <c r="G479" s="4"/>
    </row>
    <row r="480" spans="7:7" x14ac:dyDescent="0.3">
      <c r="G480" s="4"/>
    </row>
    <row r="481" spans="7:7" x14ac:dyDescent="0.3">
      <c r="G481" s="4"/>
    </row>
    <row r="482" spans="7:7" x14ac:dyDescent="0.3">
      <c r="G482" s="4"/>
    </row>
    <row r="483" spans="7:7" x14ac:dyDescent="0.3">
      <c r="G483" s="4"/>
    </row>
    <row r="484" spans="7:7" x14ac:dyDescent="0.3">
      <c r="G484" s="4"/>
    </row>
    <row r="485" spans="7:7" x14ac:dyDescent="0.3">
      <c r="G485" s="4"/>
    </row>
    <row r="486" spans="7:7" x14ac:dyDescent="0.3">
      <c r="G486" s="4"/>
    </row>
    <row r="487" spans="7:7" x14ac:dyDescent="0.3">
      <c r="G487" s="4"/>
    </row>
    <row r="488" spans="7:7" x14ac:dyDescent="0.3">
      <c r="G488" s="4"/>
    </row>
    <row r="489" spans="7:7" x14ac:dyDescent="0.3">
      <c r="G489" s="4"/>
    </row>
    <row r="490" spans="7:7" x14ac:dyDescent="0.3">
      <c r="G490" s="4"/>
    </row>
    <row r="491" spans="7:7" x14ac:dyDescent="0.3">
      <c r="G491" s="4"/>
    </row>
    <row r="492" spans="7:7" x14ac:dyDescent="0.3">
      <c r="G492" s="4"/>
    </row>
    <row r="493" spans="7:7" x14ac:dyDescent="0.3">
      <c r="G493" s="4"/>
    </row>
    <row r="494" spans="7:7" x14ac:dyDescent="0.3">
      <c r="G494" s="4"/>
    </row>
    <row r="495" spans="7:7" x14ac:dyDescent="0.3">
      <c r="G495" s="4"/>
    </row>
    <row r="496" spans="7:7" x14ac:dyDescent="0.3">
      <c r="G496" s="4"/>
    </row>
    <row r="497" spans="7:7" x14ac:dyDescent="0.3">
      <c r="G497" s="4"/>
    </row>
    <row r="498" spans="7:7" x14ac:dyDescent="0.3">
      <c r="G498" s="4"/>
    </row>
    <row r="499" spans="7:7" x14ac:dyDescent="0.3">
      <c r="G499" s="4"/>
    </row>
    <row r="500" spans="7:7" x14ac:dyDescent="0.3">
      <c r="G500" s="4"/>
    </row>
    <row r="501" spans="7:7" x14ac:dyDescent="0.3">
      <c r="G501" s="4"/>
    </row>
    <row r="502" spans="7:7" x14ac:dyDescent="0.3">
      <c r="G502" s="4"/>
    </row>
    <row r="503" spans="7:7" x14ac:dyDescent="0.3">
      <c r="G503" s="4"/>
    </row>
    <row r="504" spans="7:7" x14ac:dyDescent="0.3">
      <c r="G504" s="4"/>
    </row>
    <row r="505" spans="7:7" x14ac:dyDescent="0.3">
      <c r="G505" s="4"/>
    </row>
    <row r="506" spans="7:7" x14ac:dyDescent="0.3">
      <c r="G506" s="4"/>
    </row>
    <row r="507" spans="7:7" x14ac:dyDescent="0.3">
      <c r="G507" s="4"/>
    </row>
    <row r="508" spans="7:7" x14ac:dyDescent="0.3">
      <c r="G508" s="4"/>
    </row>
    <row r="509" spans="7:7" x14ac:dyDescent="0.3">
      <c r="G509" s="4"/>
    </row>
    <row r="510" spans="7:7" x14ac:dyDescent="0.3">
      <c r="G510" s="4"/>
    </row>
    <row r="511" spans="7:7" x14ac:dyDescent="0.3">
      <c r="G511" s="4"/>
    </row>
    <row r="512" spans="7:7" x14ac:dyDescent="0.3">
      <c r="G512" s="4"/>
    </row>
    <row r="513" spans="7:7" x14ac:dyDescent="0.3">
      <c r="G513" s="4"/>
    </row>
    <row r="514" spans="7:7" x14ac:dyDescent="0.3">
      <c r="G514" s="4"/>
    </row>
    <row r="515" spans="7:7" x14ac:dyDescent="0.3">
      <c r="G515" s="4"/>
    </row>
    <row r="516" spans="7:7" x14ac:dyDescent="0.3">
      <c r="G516" s="4"/>
    </row>
    <row r="517" spans="7:7" x14ac:dyDescent="0.3">
      <c r="G517" s="4"/>
    </row>
    <row r="518" spans="7:7" x14ac:dyDescent="0.3">
      <c r="G518" s="4"/>
    </row>
    <row r="519" spans="7:7" x14ac:dyDescent="0.3">
      <c r="G519" s="4"/>
    </row>
    <row r="520" spans="7:7" x14ac:dyDescent="0.3">
      <c r="G520" s="4"/>
    </row>
    <row r="521" spans="7:7" x14ac:dyDescent="0.3">
      <c r="G521" s="4"/>
    </row>
    <row r="522" spans="7:7" x14ac:dyDescent="0.3">
      <c r="G522" s="4"/>
    </row>
    <row r="523" spans="7:7" x14ac:dyDescent="0.3">
      <c r="G523" s="4"/>
    </row>
    <row r="524" spans="7:7" x14ac:dyDescent="0.3">
      <c r="G524" s="4"/>
    </row>
    <row r="525" spans="7:7" x14ac:dyDescent="0.3">
      <c r="G525" s="4"/>
    </row>
    <row r="526" spans="7:7" x14ac:dyDescent="0.3">
      <c r="G526" s="4"/>
    </row>
    <row r="527" spans="7:7" x14ac:dyDescent="0.3">
      <c r="G527" s="4"/>
    </row>
    <row r="528" spans="7:7" x14ac:dyDescent="0.3">
      <c r="G528" s="4"/>
    </row>
    <row r="529" spans="7:7" x14ac:dyDescent="0.3">
      <c r="G529" s="4"/>
    </row>
    <row r="530" spans="7:7" x14ac:dyDescent="0.3">
      <c r="G530" s="4"/>
    </row>
    <row r="531" spans="7:7" x14ac:dyDescent="0.3">
      <c r="G531" s="4"/>
    </row>
    <row r="532" spans="7:7" x14ac:dyDescent="0.3">
      <c r="G532" s="4"/>
    </row>
    <row r="533" spans="7:7" x14ac:dyDescent="0.3">
      <c r="G533" s="4"/>
    </row>
    <row r="534" spans="7:7" x14ac:dyDescent="0.3">
      <c r="G534" s="4"/>
    </row>
    <row r="535" spans="7:7" x14ac:dyDescent="0.3">
      <c r="G535" s="4"/>
    </row>
    <row r="536" spans="7:7" x14ac:dyDescent="0.3">
      <c r="G536" s="4"/>
    </row>
    <row r="537" spans="7:7" x14ac:dyDescent="0.3">
      <c r="G537" s="4"/>
    </row>
    <row r="538" spans="7:7" x14ac:dyDescent="0.3">
      <c r="G538" s="4"/>
    </row>
    <row r="539" spans="7:7" x14ac:dyDescent="0.3">
      <c r="G539" s="4"/>
    </row>
    <row r="540" spans="7:7" x14ac:dyDescent="0.3">
      <c r="G540" s="4"/>
    </row>
    <row r="541" spans="7:7" x14ac:dyDescent="0.3">
      <c r="G541" s="4"/>
    </row>
    <row r="542" spans="7:7" x14ac:dyDescent="0.3">
      <c r="G542" s="4"/>
    </row>
    <row r="543" spans="7:7" x14ac:dyDescent="0.3">
      <c r="G543" s="4"/>
    </row>
    <row r="544" spans="7:7" x14ac:dyDescent="0.3">
      <c r="G544" s="4"/>
    </row>
    <row r="545" spans="7:7" x14ac:dyDescent="0.3">
      <c r="G545" s="4"/>
    </row>
    <row r="546" spans="7:7" x14ac:dyDescent="0.3">
      <c r="G546" s="4"/>
    </row>
    <row r="547" spans="7:7" x14ac:dyDescent="0.3">
      <c r="G547" s="4"/>
    </row>
    <row r="548" spans="7:7" x14ac:dyDescent="0.3">
      <c r="G548" s="4"/>
    </row>
  </sheetData>
  <mergeCells count="10">
    <mergeCell ref="K2:K3"/>
    <mergeCell ref="A16:K16"/>
    <mergeCell ref="A1:K1"/>
    <mergeCell ref="A2:A3"/>
    <mergeCell ref="G2:G3"/>
    <mergeCell ref="H2:J2"/>
    <mergeCell ref="B2:B3"/>
    <mergeCell ref="C2:C3"/>
    <mergeCell ref="F2:F3"/>
    <mergeCell ref="E2:E3"/>
  </mergeCells>
  <pageMargins left="0.55118110236220474" right="0.15748031496062992" top="0.74803149606299213" bottom="0.74803149606299213" header="0.31496062992125984" footer="0.31496062992125984"/>
  <pageSetup scale="9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 CON REQUISITOS 10 (2)</vt:lpstr>
      <vt:lpstr>PROYECTOS SIN REQUISITOS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 Becerra</dc:creator>
  <cp:lastModifiedBy>Juan Marcelo Segales Coronel</cp:lastModifiedBy>
  <cp:lastPrinted>2023-05-29T15:08:37Z</cp:lastPrinted>
  <dcterms:created xsi:type="dcterms:W3CDTF">2022-09-16T22:30:05Z</dcterms:created>
  <dcterms:modified xsi:type="dcterms:W3CDTF">2023-06-02T21:23:54Z</dcterms:modified>
</cp:coreProperties>
</file>